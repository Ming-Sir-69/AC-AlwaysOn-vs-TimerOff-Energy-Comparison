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参数配置" sheetId="1" state="visible" r:id="rId1"/>
    <sheet xmlns:r="http://schemas.openxmlformats.org/officeDocument/2006/relationships" name="L25基础结果" sheetId="2" state="visible" r:id="rId2"/>
    <sheet xmlns:r="http://schemas.openxmlformats.org/officeDocument/2006/relationships" name="L50升级结果" sheetId="3" state="visible" r:id="rId3"/>
    <sheet xmlns:r="http://schemas.openxmlformats.org/officeDocument/2006/relationships" name="临界区加密" sheetId="4" state="visible" r:id="rId4"/>
    <sheet xmlns:r="http://schemas.openxmlformats.org/officeDocument/2006/relationships" name="主效应分析" sheetId="5" state="visible" r:id="rId5"/>
    <sheet xmlns:r="http://schemas.openxmlformats.org/officeDocument/2006/relationships" name="方差分析" sheetId="6" state="visible" r:id="rId6"/>
    <sheet xmlns:r="http://schemas.openxmlformats.org/officeDocument/2006/relationships" name="临界点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2" fillId="0" borderId="0" pivotButton="0" quotePrefix="0" xfId="0"/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E5FF"/>
          <bgColor rgb="00CCE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因子编号</t>
        </is>
      </c>
      <c r="B1" s="1" t="inlineStr">
        <is>
          <t>因子名称</t>
        </is>
      </c>
      <c r="C1" s="1" t="inlineStr">
        <is>
          <t>单位</t>
        </is>
      </c>
      <c r="D1" s="1" t="inlineStr">
        <is>
          <t>水平1</t>
        </is>
      </c>
      <c r="E1" s="1" t="inlineStr">
        <is>
          <t>水平2</t>
        </is>
      </c>
      <c r="F1" s="1" t="inlineStr">
        <is>
          <t>水平3</t>
        </is>
      </c>
      <c r="G1" s="1" t="inlineStr">
        <is>
          <t>水平4</t>
        </is>
      </c>
      <c r="H1" s="1" t="inlineStr">
        <is>
          <t>水平5</t>
        </is>
      </c>
    </row>
    <row r="2">
      <c r="A2" s="2" t="inlineStr">
        <is>
          <t>A</t>
        </is>
      </c>
      <c r="B2" s="2" t="inlineStr">
        <is>
          <t>出门时间</t>
        </is>
      </c>
      <c r="C2" s="2" t="inlineStr">
        <is>
          <t>h</t>
        </is>
      </c>
      <c r="D2" s="2" t="n">
        <v>2</v>
      </c>
      <c r="E2" s="2" t="n">
        <v>5</v>
      </c>
      <c r="F2" s="2" t="n">
        <v>8</v>
      </c>
      <c r="G2" s="2" t="n">
        <v>11</v>
      </c>
      <c r="H2" s="2" t="n">
        <v>14</v>
      </c>
    </row>
    <row r="3">
      <c r="A3" s="2" t="inlineStr">
        <is>
          <t>B</t>
        </is>
      </c>
      <c r="B3" s="2" t="inlineStr">
        <is>
          <t>室外温度</t>
        </is>
      </c>
      <c r="C3" s="2" t="inlineStr">
        <is>
          <t>°C</t>
        </is>
      </c>
      <c r="D3" s="2" t="n">
        <v>28</v>
      </c>
      <c r="E3" s="2" t="n">
        <v>30</v>
      </c>
      <c r="F3" s="2" t="n">
        <v>32</v>
      </c>
      <c r="G3" s="2" t="n">
        <v>34</v>
      </c>
      <c r="H3" s="2" t="n">
        <v>36</v>
      </c>
    </row>
    <row r="4">
      <c r="A4" s="2" t="inlineStr">
        <is>
          <t>C</t>
        </is>
      </c>
      <c r="B4" s="2" t="inlineStr">
        <is>
          <t>关机瞬间室内温</t>
        </is>
      </c>
      <c r="C4" s="2" t="inlineStr">
        <is>
          <t>°C</t>
        </is>
      </c>
      <c r="D4" s="2" t="n">
        <v>26</v>
      </c>
      <c r="E4" s="2" t="n">
        <v>27</v>
      </c>
      <c r="F4" s="2" t="n">
        <v>28</v>
      </c>
      <c r="G4" s="2" t="n">
        <v>29</v>
      </c>
      <c r="H4" s="2" t="n">
        <v>30</v>
      </c>
    </row>
    <row r="5">
      <c r="A5" s="2" t="inlineStr">
        <is>
          <t>D</t>
        </is>
      </c>
      <c r="B5" s="2" t="inlineStr">
        <is>
          <t>目标温度</t>
        </is>
      </c>
      <c r="C5" s="2" t="inlineStr">
        <is>
          <t>°C</t>
        </is>
      </c>
      <c r="D5" s="2" t="n">
        <v>22</v>
      </c>
      <c r="E5" s="2" t="n">
        <v>23</v>
      </c>
      <c r="F5" s="2" t="n">
        <v>24</v>
      </c>
      <c r="G5" s="2" t="n">
        <v>25</v>
      </c>
      <c r="H5" s="2" t="n">
        <v>26</v>
      </c>
    </row>
    <row r="6">
      <c r="A6" s="2" t="inlineStr">
        <is>
          <t>E</t>
        </is>
      </c>
      <c r="B6" s="2" t="inlineStr">
        <is>
          <t>建筑热惯性τ</t>
        </is>
      </c>
      <c r="C6" s="2" t="inlineStr">
        <is>
          <t>h</t>
        </is>
      </c>
      <c r="D6" s="2" t="n">
        <v>2</v>
      </c>
      <c r="E6" s="2" t="n">
        <v>4</v>
      </c>
      <c r="F6" s="2" t="n">
        <v>6</v>
      </c>
      <c r="G6" s="2" t="n">
        <v>9</v>
      </c>
      <c r="H6" s="2" t="n">
        <v>12</v>
      </c>
    </row>
    <row r="7">
      <c r="A7" s="2" t="inlineStr">
        <is>
          <t>F</t>
        </is>
      </c>
      <c r="B7" s="2" t="inlineStr">
        <is>
          <t>COP</t>
        </is>
      </c>
      <c r="C7" s="2" t="inlineStr">
        <is>
          <t>无</t>
        </is>
      </c>
      <c r="D7" s="2" t="n">
        <v>2.6</v>
      </c>
      <c r="E7" s="2" t="n">
        <v>3</v>
      </c>
      <c r="F7" s="2" t="n">
        <v>3.3</v>
      </c>
      <c r="G7" s="2" t="n">
        <v>3.6</v>
      </c>
      <c r="H7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Run</t>
        </is>
      </c>
      <c r="B1" s="1" t="inlineStr">
        <is>
          <t>t_off(h)</t>
        </is>
      </c>
      <c r="C1" s="1" t="inlineStr">
        <is>
          <t>T_out(°C)</t>
        </is>
      </c>
      <c r="D1" s="1" t="inlineStr">
        <is>
          <t>T_in_init(°C)</t>
        </is>
      </c>
      <c r="E1" s="1" t="inlineStr">
        <is>
          <t>T_set(°C)</t>
        </is>
      </c>
      <c r="F1" s="1" t="inlineStr">
        <is>
          <t>tau(h)</t>
        </is>
      </c>
      <c r="G1" s="1" t="inlineStr">
        <is>
          <t>COP</t>
        </is>
      </c>
      <c r="H1" s="1" t="inlineStr">
        <is>
          <t>E_A(kWh)</t>
        </is>
      </c>
      <c r="I1" s="1" t="inlineStr">
        <is>
          <t>E_B(kWh)</t>
        </is>
      </c>
      <c r="J1" s="1" t="inlineStr">
        <is>
          <t>delta_E(kWh)</t>
        </is>
      </c>
      <c r="K1" s="1" t="inlineStr">
        <is>
          <t>savings(%)</t>
        </is>
      </c>
      <c r="L1" s="1" t="inlineStr">
        <is>
          <t>winner</t>
        </is>
      </c>
    </row>
    <row r="2">
      <c r="A2" s="2" t="n">
        <v>1</v>
      </c>
      <c r="B2" s="2" t="n">
        <v>2</v>
      </c>
      <c r="C2" s="2" t="n">
        <v>28</v>
      </c>
      <c r="D2" s="2" t="n">
        <v>26</v>
      </c>
      <c r="E2" s="2" t="n">
        <v>22</v>
      </c>
      <c r="F2" s="2" t="n">
        <v>2</v>
      </c>
      <c r="G2" s="2" t="n">
        <v>2.6</v>
      </c>
      <c r="H2" s="3" t="n">
        <v>5.5385</v>
      </c>
      <c r="I2" s="3" t="n">
        <v>5.3469</v>
      </c>
      <c r="J2" s="3">
        <f>H2-I2</f>
        <v/>
      </c>
      <c r="K2" s="4">
        <f>J2/H2*100</f>
        <v/>
      </c>
      <c r="L2" s="2">
        <f>IF(J2&gt;0,"B关机更省","A常开更省")</f>
        <v/>
      </c>
    </row>
    <row r="3">
      <c r="A3" s="5" t="n">
        <v>2</v>
      </c>
      <c r="B3" s="5" t="n">
        <v>2</v>
      </c>
      <c r="C3" s="5" t="n">
        <v>30</v>
      </c>
      <c r="D3" s="5" t="n">
        <v>27</v>
      </c>
      <c r="E3" s="5" t="n">
        <v>23</v>
      </c>
      <c r="F3" s="5" t="n">
        <v>4</v>
      </c>
      <c r="G3" s="5" t="n">
        <v>3</v>
      </c>
      <c r="H3" s="6" t="n">
        <v>5.6</v>
      </c>
      <c r="I3" s="6" t="n">
        <v>5.5938</v>
      </c>
      <c r="J3" s="6">
        <f>H3-I3</f>
        <v/>
      </c>
      <c r="K3" s="7">
        <f>J3/H3*100</f>
        <v/>
      </c>
      <c r="L3" s="5">
        <f>IF(J3&gt;0,"B关机更省","A常开更省")</f>
        <v/>
      </c>
    </row>
    <row r="4">
      <c r="A4" s="2" t="n">
        <v>3</v>
      </c>
      <c r="B4" s="2" t="n">
        <v>2</v>
      </c>
      <c r="C4" s="2" t="n">
        <v>32</v>
      </c>
      <c r="D4" s="2" t="n">
        <v>28</v>
      </c>
      <c r="E4" s="2" t="n">
        <v>24</v>
      </c>
      <c r="F4" s="2" t="n">
        <v>6</v>
      </c>
      <c r="G4" s="2" t="n">
        <v>3.3</v>
      </c>
      <c r="H4" s="3" t="n">
        <v>5.8182</v>
      </c>
      <c r="I4" s="3" t="n">
        <v>5.9556</v>
      </c>
      <c r="J4" s="3">
        <f>H4-I4</f>
        <v/>
      </c>
      <c r="K4" s="4">
        <f>J4/H4*100</f>
        <v/>
      </c>
      <c r="L4" s="2">
        <f>IF(J4&gt;0,"B关机更省","A常开更省")</f>
        <v/>
      </c>
    </row>
    <row r="5">
      <c r="A5" s="5" t="n">
        <v>4</v>
      </c>
      <c r="B5" s="5" t="n">
        <v>2</v>
      </c>
      <c r="C5" s="5" t="n">
        <v>34</v>
      </c>
      <c r="D5" s="5" t="n">
        <v>29</v>
      </c>
      <c r="E5" s="5" t="n">
        <v>25</v>
      </c>
      <c r="F5" s="5" t="n">
        <v>9</v>
      </c>
      <c r="G5" s="5" t="n">
        <v>3.6</v>
      </c>
      <c r="H5" s="6" t="n">
        <v>6</v>
      </c>
      <c r="I5" s="6" t="n">
        <v>6.3327</v>
      </c>
      <c r="J5" s="6">
        <f>H5-I5</f>
        <v/>
      </c>
      <c r="K5" s="7">
        <f>J5/H5*100</f>
        <v/>
      </c>
      <c r="L5" s="5">
        <f>IF(J5&gt;0,"B关机更省","A常开更省")</f>
        <v/>
      </c>
    </row>
    <row r="6">
      <c r="A6" s="2" t="n">
        <v>5</v>
      </c>
      <c r="B6" s="2" t="n">
        <v>2</v>
      </c>
      <c r="C6" s="2" t="n">
        <v>36</v>
      </c>
      <c r="D6" s="2" t="n">
        <v>30</v>
      </c>
      <c r="E6" s="2" t="n">
        <v>26</v>
      </c>
      <c r="F6" s="2" t="n">
        <v>12</v>
      </c>
      <c r="G6" s="2" t="n">
        <v>4</v>
      </c>
      <c r="H6" s="3" t="n">
        <v>6</v>
      </c>
      <c r="I6" s="3" t="n">
        <v>6.4842</v>
      </c>
      <c r="J6" s="3">
        <f>H6-I6</f>
        <v/>
      </c>
      <c r="K6" s="4">
        <f>J6/H6*100</f>
        <v/>
      </c>
      <c r="L6" s="2">
        <f>IF(J6&gt;0,"B关机更省","A常开更省")</f>
        <v/>
      </c>
    </row>
    <row r="7">
      <c r="A7" s="5" t="n">
        <v>6</v>
      </c>
      <c r="B7" s="5" t="n">
        <v>5</v>
      </c>
      <c r="C7" s="5" t="n">
        <v>28</v>
      </c>
      <c r="D7" s="5" t="n">
        <v>27</v>
      </c>
      <c r="E7" s="5" t="n">
        <v>24</v>
      </c>
      <c r="F7" s="5" t="n">
        <v>9</v>
      </c>
      <c r="G7" s="5" t="n">
        <v>4</v>
      </c>
      <c r="H7" s="6" t="n">
        <v>2.4</v>
      </c>
      <c r="I7" s="6" t="n">
        <v>2.4139</v>
      </c>
      <c r="J7" s="6">
        <f>H7-I7</f>
        <v/>
      </c>
      <c r="K7" s="7">
        <f>J7/H7*100</f>
        <v/>
      </c>
      <c r="L7" s="5">
        <f>IF(J7&gt;0,"B关机更省","A常开更省")</f>
        <v/>
      </c>
    </row>
    <row r="8">
      <c r="A8" s="2" t="n">
        <v>7</v>
      </c>
      <c r="B8" s="2" t="n">
        <v>5</v>
      </c>
      <c r="C8" s="2" t="n">
        <v>30</v>
      </c>
      <c r="D8" s="2" t="n">
        <v>28</v>
      </c>
      <c r="E8" s="2" t="n">
        <v>25</v>
      </c>
      <c r="F8" s="2" t="n">
        <v>12</v>
      </c>
      <c r="G8" s="2" t="n">
        <v>2.6</v>
      </c>
      <c r="H8" s="3" t="n">
        <v>4.6154</v>
      </c>
      <c r="I8" s="3" t="n">
        <v>4.7866</v>
      </c>
      <c r="J8" s="3">
        <f>H8-I8</f>
        <v/>
      </c>
      <c r="K8" s="4">
        <f>J8/H8*100</f>
        <v/>
      </c>
      <c r="L8" s="2">
        <f>IF(J8&gt;0,"B关机更省","A常开更省")</f>
        <v/>
      </c>
    </row>
    <row r="9">
      <c r="A9" s="5" t="n">
        <v>8</v>
      </c>
      <c r="B9" s="5" t="n">
        <v>5</v>
      </c>
      <c r="C9" s="5" t="n">
        <v>32</v>
      </c>
      <c r="D9" s="5" t="n">
        <v>29</v>
      </c>
      <c r="E9" s="5" t="n">
        <v>26</v>
      </c>
      <c r="F9" s="5" t="n">
        <v>2</v>
      </c>
      <c r="G9" s="5" t="n">
        <v>3</v>
      </c>
      <c r="H9" s="6" t="n">
        <v>4.8</v>
      </c>
      <c r="I9" s="6" t="n">
        <v>4.0557</v>
      </c>
      <c r="J9" s="6">
        <f>H9-I9</f>
        <v/>
      </c>
      <c r="K9" s="7">
        <f>J9/H9*100</f>
        <v/>
      </c>
      <c r="L9" s="5">
        <f>IF(J9&gt;0,"B关机更省","A常开更省")</f>
        <v/>
      </c>
    </row>
    <row r="10">
      <c r="A10" s="2" t="n">
        <v>9</v>
      </c>
      <c r="B10" s="2" t="n">
        <v>5</v>
      </c>
      <c r="C10" s="2" t="n">
        <v>34</v>
      </c>
      <c r="D10" s="2" t="n">
        <v>30</v>
      </c>
      <c r="E10" s="2" t="n">
        <v>22</v>
      </c>
      <c r="F10" s="2" t="n">
        <v>4</v>
      </c>
      <c r="G10" s="2" t="n">
        <v>3.3</v>
      </c>
      <c r="H10" s="3" t="n">
        <v>8.7273</v>
      </c>
      <c r="I10" s="3" t="n">
        <v>7.7862</v>
      </c>
      <c r="J10" s="3">
        <f>H10-I10</f>
        <v/>
      </c>
      <c r="K10" s="4">
        <f>J10/H10*100</f>
        <v/>
      </c>
      <c r="L10" s="2">
        <f>IF(J10&gt;0,"B关机更省","A常开更省")</f>
        <v/>
      </c>
    </row>
    <row r="11">
      <c r="A11" s="5" t="n">
        <v>10</v>
      </c>
      <c r="B11" s="5" t="n">
        <v>5</v>
      </c>
      <c r="C11" s="5" t="n">
        <v>36</v>
      </c>
      <c r="D11" s="5" t="n">
        <v>26</v>
      </c>
      <c r="E11" s="5" t="n">
        <v>23</v>
      </c>
      <c r="F11" s="5" t="n">
        <v>6</v>
      </c>
      <c r="G11" s="5" t="n">
        <v>3.6</v>
      </c>
      <c r="H11" s="6" t="n">
        <v>8.666700000000001</v>
      </c>
      <c r="I11" s="6" t="n">
        <v>7.8227</v>
      </c>
      <c r="J11" s="6">
        <f>H11-I11</f>
        <v/>
      </c>
      <c r="K11" s="7">
        <f>J11/H11*100</f>
        <v/>
      </c>
      <c r="L11" s="5">
        <f>IF(J11&gt;0,"B关机更省","A常开更省")</f>
        <v/>
      </c>
    </row>
    <row r="12">
      <c r="A12" s="2" t="n">
        <v>11</v>
      </c>
      <c r="B12" s="2" t="n">
        <v>8</v>
      </c>
      <c r="C12" s="2" t="n">
        <v>28</v>
      </c>
      <c r="D12" s="2" t="n">
        <v>28</v>
      </c>
      <c r="E12" s="2" t="n">
        <v>26</v>
      </c>
      <c r="F12" s="2" t="n">
        <v>4</v>
      </c>
      <c r="G12" s="2" t="n">
        <v>3.6</v>
      </c>
      <c r="H12" s="3" t="n">
        <v>1.3333</v>
      </c>
      <c r="I12" s="3" t="n">
        <v>1.037</v>
      </c>
      <c r="J12" s="3">
        <f>H12-I12</f>
        <v/>
      </c>
      <c r="K12" s="4">
        <f>J12/H12*100</f>
        <v/>
      </c>
      <c r="L12" s="2">
        <f>IF(J12&gt;0,"B关机更省","A常开更省")</f>
        <v/>
      </c>
    </row>
    <row r="13">
      <c r="A13" s="5" t="n">
        <v>12</v>
      </c>
      <c r="B13" s="5" t="n">
        <v>8</v>
      </c>
      <c r="C13" s="5" t="n">
        <v>30</v>
      </c>
      <c r="D13" s="5" t="n">
        <v>29</v>
      </c>
      <c r="E13" s="5" t="n">
        <v>22</v>
      </c>
      <c r="F13" s="5" t="n">
        <v>6</v>
      </c>
      <c r="G13" s="5" t="n">
        <v>4</v>
      </c>
      <c r="H13" s="6" t="n">
        <v>4.8</v>
      </c>
      <c r="I13" s="6" t="n">
        <v>3.9736</v>
      </c>
      <c r="J13" s="6">
        <f>H13-I13</f>
        <v/>
      </c>
      <c r="K13" s="7">
        <f>J13/H13*100</f>
        <v/>
      </c>
      <c r="L13" s="5">
        <f>IF(J13&gt;0,"B关机更省","A常开更省")</f>
        <v/>
      </c>
    </row>
    <row r="14">
      <c r="A14" s="2" t="n">
        <v>13</v>
      </c>
      <c r="B14" s="2" t="n">
        <v>8</v>
      </c>
      <c r="C14" s="2" t="n">
        <v>32</v>
      </c>
      <c r="D14" s="2" t="n">
        <v>30</v>
      </c>
      <c r="E14" s="2" t="n">
        <v>23</v>
      </c>
      <c r="F14" s="2" t="n">
        <v>9</v>
      </c>
      <c r="G14" s="2" t="n">
        <v>2.6</v>
      </c>
      <c r="H14" s="3" t="n">
        <v>8.307700000000001</v>
      </c>
      <c r="I14" s="3" t="n">
        <v>7.4256</v>
      </c>
      <c r="J14" s="3">
        <f>H14-I14</f>
        <v/>
      </c>
      <c r="K14" s="4">
        <f>J14/H14*100</f>
        <v/>
      </c>
      <c r="L14" s="2">
        <f>IF(J14&gt;0,"B关机更省","A常开更省")</f>
        <v/>
      </c>
    </row>
    <row r="15">
      <c r="A15" s="5" t="n">
        <v>14</v>
      </c>
      <c r="B15" s="5" t="n">
        <v>8</v>
      </c>
      <c r="C15" s="5" t="n">
        <v>34</v>
      </c>
      <c r="D15" s="5" t="n">
        <v>26</v>
      </c>
      <c r="E15" s="5" t="n">
        <v>24</v>
      </c>
      <c r="F15" s="5" t="n">
        <v>12</v>
      </c>
      <c r="G15" s="5" t="n">
        <v>3</v>
      </c>
      <c r="H15" s="6" t="n">
        <v>8</v>
      </c>
      <c r="I15" s="6" t="n">
        <v>6.9047</v>
      </c>
      <c r="J15" s="6">
        <f>H15-I15</f>
        <v/>
      </c>
      <c r="K15" s="7">
        <f>J15/H15*100</f>
        <v/>
      </c>
      <c r="L15" s="5">
        <f>IF(J15&gt;0,"B关机更省","A常开更省")</f>
        <v/>
      </c>
    </row>
    <row r="16">
      <c r="A16" s="2" t="n">
        <v>15</v>
      </c>
      <c r="B16" s="2" t="n">
        <v>8</v>
      </c>
      <c r="C16" s="2" t="n">
        <v>36</v>
      </c>
      <c r="D16" s="2" t="n">
        <v>27</v>
      </c>
      <c r="E16" s="2" t="n">
        <v>25</v>
      </c>
      <c r="F16" s="2" t="n">
        <v>2</v>
      </c>
      <c r="G16" s="2" t="n">
        <v>3.3</v>
      </c>
      <c r="H16" s="3" t="n">
        <v>8</v>
      </c>
      <c r="I16" s="3" t="n">
        <v>5.7711</v>
      </c>
      <c r="J16" s="3">
        <f>H16-I16</f>
        <v/>
      </c>
      <c r="K16" s="4">
        <f>J16/H16*100</f>
        <v/>
      </c>
      <c r="L16" s="2">
        <f>IF(J16&gt;0,"B关机更省","A常开更省")</f>
        <v/>
      </c>
    </row>
    <row r="17">
      <c r="A17" s="5" t="n">
        <v>16</v>
      </c>
      <c r="B17" s="5" t="n">
        <v>11</v>
      </c>
      <c r="C17" s="5" t="n">
        <v>28</v>
      </c>
      <c r="D17" s="5" t="n">
        <v>29</v>
      </c>
      <c r="E17" s="5" t="n">
        <v>23</v>
      </c>
      <c r="F17" s="5" t="n">
        <v>12</v>
      </c>
      <c r="G17" s="5" t="n">
        <v>3.3</v>
      </c>
      <c r="H17" s="6" t="n">
        <v>3.6364</v>
      </c>
      <c r="I17" s="6" t="n">
        <v>3.2788</v>
      </c>
      <c r="J17" s="6">
        <f>H17-I17</f>
        <v/>
      </c>
      <c r="K17" s="7">
        <f>J17/H17*100</f>
        <v/>
      </c>
      <c r="L17" s="5">
        <f>IF(J17&gt;0,"B关机更省","A常开更省")</f>
        <v/>
      </c>
    </row>
    <row r="18">
      <c r="A18" s="2" t="n">
        <v>17</v>
      </c>
      <c r="B18" s="2" t="n">
        <v>11</v>
      </c>
      <c r="C18" s="2" t="n">
        <v>30</v>
      </c>
      <c r="D18" s="2" t="n">
        <v>30</v>
      </c>
      <c r="E18" s="2" t="n">
        <v>24</v>
      </c>
      <c r="F18" s="2" t="n">
        <v>2</v>
      </c>
      <c r="G18" s="2" t="n">
        <v>3.6</v>
      </c>
      <c r="H18" s="3" t="n">
        <v>4</v>
      </c>
      <c r="I18" s="3" t="n">
        <v>2.3889</v>
      </c>
      <c r="J18" s="3">
        <f>H18-I18</f>
        <v/>
      </c>
      <c r="K18" s="4">
        <f>J18/H18*100</f>
        <v/>
      </c>
      <c r="L18" s="2">
        <f>IF(J18&gt;0,"B关机更省","A常开更省")</f>
        <v/>
      </c>
    </row>
    <row r="19">
      <c r="A19" s="5" t="n">
        <v>18</v>
      </c>
      <c r="B19" s="5" t="n">
        <v>11</v>
      </c>
      <c r="C19" s="5" t="n">
        <v>32</v>
      </c>
      <c r="D19" s="5" t="n">
        <v>26</v>
      </c>
      <c r="E19" s="5" t="n">
        <v>25</v>
      </c>
      <c r="F19" s="5" t="n">
        <v>4</v>
      </c>
      <c r="G19" s="5" t="n">
        <v>4</v>
      </c>
      <c r="H19" s="6" t="n">
        <v>4.2</v>
      </c>
      <c r="I19" s="6" t="n">
        <v>2.7161</v>
      </c>
      <c r="J19" s="6">
        <f>H19-I19</f>
        <v/>
      </c>
      <c r="K19" s="7">
        <f>J19/H19*100</f>
        <v/>
      </c>
      <c r="L19" s="5">
        <f>IF(J19&gt;0,"B关机更省","A常开更省")</f>
        <v/>
      </c>
    </row>
    <row r="20">
      <c r="A20" s="2" t="n">
        <v>19</v>
      </c>
      <c r="B20" s="2" t="n">
        <v>11</v>
      </c>
      <c r="C20" s="2" t="n">
        <v>34</v>
      </c>
      <c r="D20" s="2" t="n">
        <v>27</v>
      </c>
      <c r="E20" s="2" t="n">
        <v>26</v>
      </c>
      <c r="F20" s="2" t="n">
        <v>6</v>
      </c>
      <c r="G20" s="2" t="n">
        <v>2.6</v>
      </c>
      <c r="H20" s="3" t="n">
        <v>7.3846</v>
      </c>
      <c r="I20" s="3" t="n">
        <v>5.0586</v>
      </c>
      <c r="J20" s="3">
        <f>H20-I20</f>
        <v/>
      </c>
      <c r="K20" s="4">
        <f>J20/H20*100</f>
        <v/>
      </c>
      <c r="L20" s="2">
        <f>IF(J20&gt;0,"B关机更省","A常开更省")</f>
        <v/>
      </c>
    </row>
    <row r="21">
      <c r="A21" s="5" t="n">
        <v>20</v>
      </c>
      <c r="B21" s="5" t="n">
        <v>11</v>
      </c>
      <c r="C21" s="5" t="n">
        <v>36</v>
      </c>
      <c r="D21" s="5" t="n">
        <v>28</v>
      </c>
      <c r="E21" s="5" t="n">
        <v>22</v>
      </c>
      <c r="F21" s="5" t="n">
        <v>9</v>
      </c>
      <c r="G21" s="5" t="n">
        <v>3</v>
      </c>
      <c r="H21" s="6" t="n">
        <v>11.2</v>
      </c>
      <c r="I21" s="6" t="n">
        <v>8.395300000000001</v>
      </c>
      <c r="J21" s="6">
        <f>H21-I21</f>
        <v/>
      </c>
      <c r="K21" s="7">
        <f>J21/H21*100</f>
        <v/>
      </c>
      <c r="L21" s="5">
        <f>IF(J21&gt;0,"B关机更省","A常开更省")</f>
        <v/>
      </c>
    </row>
    <row r="22">
      <c r="A22" s="2" t="n">
        <v>21</v>
      </c>
      <c r="B22" s="2" t="n">
        <v>14</v>
      </c>
      <c r="C22" s="2" t="n">
        <v>28</v>
      </c>
      <c r="D22" s="2" t="n">
        <v>30</v>
      </c>
      <c r="E22" s="2" t="n">
        <v>25</v>
      </c>
      <c r="F22" s="2" t="n">
        <v>6</v>
      </c>
      <c r="G22" s="2" t="n">
        <v>3</v>
      </c>
      <c r="H22" s="3" t="n">
        <v>2.4</v>
      </c>
      <c r="I22" s="3" t="n">
        <v>1.4259</v>
      </c>
      <c r="J22" s="3">
        <f>H22-I22</f>
        <v/>
      </c>
      <c r="K22" s="4">
        <f>J22/H22*100</f>
        <v/>
      </c>
      <c r="L22" s="2">
        <f>IF(J22&gt;0,"B关机更省","A常开更省")</f>
        <v/>
      </c>
    </row>
    <row r="23">
      <c r="A23" s="5" t="n">
        <v>22</v>
      </c>
      <c r="B23" s="5" t="n">
        <v>14</v>
      </c>
      <c r="C23" s="5" t="n">
        <v>30</v>
      </c>
      <c r="D23" s="5" t="n">
        <v>26</v>
      </c>
      <c r="E23" s="5" t="n">
        <v>26</v>
      </c>
      <c r="F23" s="5" t="n">
        <v>9</v>
      </c>
      <c r="G23" s="5" t="n">
        <v>3.3</v>
      </c>
      <c r="H23" s="6" t="n">
        <v>2.9091</v>
      </c>
      <c r="I23" s="6" t="n">
        <v>1.7859</v>
      </c>
      <c r="J23" s="6">
        <f>H23-I23</f>
        <v/>
      </c>
      <c r="K23" s="7">
        <f>J23/H23*100</f>
        <v/>
      </c>
      <c r="L23" s="5">
        <f>IF(J23&gt;0,"B关机更省","A常开更省")</f>
        <v/>
      </c>
    </row>
    <row r="24">
      <c r="A24" s="2" t="n">
        <v>23</v>
      </c>
      <c r="B24" s="2" t="n">
        <v>14</v>
      </c>
      <c r="C24" s="2" t="n">
        <v>32</v>
      </c>
      <c r="D24" s="2" t="n">
        <v>27</v>
      </c>
      <c r="E24" s="2" t="n">
        <v>22</v>
      </c>
      <c r="F24" s="2" t="n">
        <v>12</v>
      </c>
      <c r="G24" s="2" t="n">
        <v>3.6</v>
      </c>
      <c r="H24" s="3" t="n">
        <v>6.6667</v>
      </c>
      <c r="I24" s="3" t="n">
        <v>4.6905</v>
      </c>
      <c r="J24" s="3">
        <f>H24-I24</f>
        <v/>
      </c>
      <c r="K24" s="4">
        <f>J24/H24*100</f>
        <v/>
      </c>
      <c r="L24" s="2">
        <f>IF(J24&gt;0,"B关机更省","A常开更省")</f>
        <v/>
      </c>
    </row>
    <row r="25">
      <c r="A25" s="5" t="n">
        <v>24</v>
      </c>
      <c r="B25" s="5" t="n">
        <v>14</v>
      </c>
      <c r="C25" s="5" t="n">
        <v>34</v>
      </c>
      <c r="D25" s="5" t="n">
        <v>28</v>
      </c>
      <c r="E25" s="5" t="n">
        <v>23</v>
      </c>
      <c r="F25" s="5" t="n">
        <v>2</v>
      </c>
      <c r="G25" s="5" t="n">
        <v>4</v>
      </c>
      <c r="H25" s="6" t="n">
        <v>6.6</v>
      </c>
      <c r="I25" s="6" t="n">
        <v>3.1165</v>
      </c>
      <c r="J25" s="6">
        <f>H25-I25</f>
        <v/>
      </c>
      <c r="K25" s="7">
        <f>J25/H25*100</f>
        <v/>
      </c>
      <c r="L25" s="5">
        <f>IF(J25&gt;0,"B关机更省","A常开更省")</f>
        <v/>
      </c>
    </row>
    <row r="26">
      <c r="A26" s="2" t="n">
        <v>25</v>
      </c>
      <c r="B26" s="2" t="n">
        <v>14</v>
      </c>
      <c r="C26" s="2" t="n">
        <v>36</v>
      </c>
      <c r="D26" s="2" t="n">
        <v>29</v>
      </c>
      <c r="E26" s="2" t="n">
        <v>24</v>
      </c>
      <c r="F26" s="2" t="n">
        <v>4</v>
      </c>
      <c r="G26" s="2" t="n">
        <v>2.6</v>
      </c>
      <c r="H26" s="3" t="n">
        <v>11.0769</v>
      </c>
      <c r="I26" s="3" t="n">
        <v>5.8245</v>
      </c>
      <c r="J26" s="3">
        <f>H26-I26</f>
        <v/>
      </c>
      <c r="K26" s="4">
        <f>J26/H26*100</f>
        <v/>
      </c>
      <c r="L26" s="2">
        <f>IF(J26&gt;0,"B关机更省","A常开更省")</f>
        <v/>
      </c>
    </row>
  </sheetData>
  <conditionalFormatting sqref="A2:L26">
    <cfRule type="cellIs" priority="1" operator="equal" dxfId="0">
      <formula>"B关机更省"</formula>
    </cfRule>
    <cfRule type="cellIs" priority="2" operator="equal" dxfId="1">
      <formula>"A常开更省"</formula>
    </cfRule>
  </conditionalFormatting>
  <conditionalFormatting sqref="K2:K26">
    <cfRule type="dataBar" priority="3">
      <dataBar>
        <cfvo type="min"/>
        <cfvo type="max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Run</t>
        </is>
      </c>
      <c r="B1" s="1" t="inlineStr">
        <is>
          <t>t_off(h)</t>
        </is>
      </c>
      <c r="C1" s="1" t="inlineStr">
        <is>
          <t>T_out(°C)</t>
        </is>
      </c>
      <c r="D1" s="1" t="inlineStr">
        <is>
          <t>T_in_init(°C)</t>
        </is>
      </c>
      <c r="E1" s="1" t="inlineStr">
        <is>
          <t>T_set(°C)</t>
        </is>
      </c>
      <c r="F1" s="1" t="inlineStr">
        <is>
          <t>tau(h)</t>
        </is>
      </c>
      <c r="G1" s="1" t="inlineStr">
        <is>
          <t>COP</t>
        </is>
      </c>
      <c r="H1" s="1" t="inlineStr">
        <is>
          <t>E_A(kWh)</t>
        </is>
      </c>
      <c r="I1" s="1" t="inlineStr">
        <is>
          <t>E_B(kWh)</t>
        </is>
      </c>
      <c r="J1" s="1" t="inlineStr">
        <is>
          <t>delta_E(kWh)</t>
        </is>
      </c>
      <c r="K1" s="1" t="inlineStr">
        <is>
          <t>savings(%)</t>
        </is>
      </c>
      <c r="L1" s="1" t="inlineStr">
        <is>
          <t>winner</t>
        </is>
      </c>
    </row>
    <row r="2">
      <c r="A2" s="2" t="n">
        <v>1</v>
      </c>
      <c r="B2" s="2" t="n">
        <v>2</v>
      </c>
      <c r="C2" s="2" t="n">
        <v>26</v>
      </c>
      <c r="D2" s="2" t="n">
        <v>26</v>
      </c>
      <c r="E2" s="2" t="n">
        <v>22</v>
      </c>
      <c r="F2" s="2" t="n">
        <v>2</v>
      </c>
      <c r="G2" s="2" t="n">
        <v>2.6</v>
      </c>
      <c r="H2" s="3" t="n">
        <v>3.6923</v>
      </c>
      <c r="I2" s="3" t="n">
        <v>3.5897</v>
      </c>
      <c r="J2" s="3">
        <f>H2-I2</f>
        <v/>
      </c>
      <c r="K2" s="4">
        <f>J2/H2*100</f>
        <v/>
      </c>
      <c r="L2" s="2">
        <f>IF(J2&gt;0,"B关机更省","A常开更省")</f>
        <v/>
      </c>
    </row>
    <row r="3">
      <c r="A3" s="5" t="n">
        <v>2</v>
      </c>
      <c r="B3" s="5" t="n">
        <v>2</v>
      </c>
      <c r="C3" s="5" t="n">
        <v>30</v>
      </c>
      <c r="D3" s="5" t="n">
        <v>27</v>
      </c>
      <c r="E3" s="5" t="n">
        <v>23</v>
      </c>
      <c r="F3" s="5" t="n">
        <v>4</v>
      </c>
      <c r="G3" s="5" t="n">
        <v>3</v>
      </c>
      <c r="H3" s="6" t="n">
        <v>5.6</v>
      </c>
      <c r="I3" s="6" t="n">
        <v>5.5938</v>
      </c>
      <c r="J3" s="6">
        <f>H3-I3</f>
        <v/>
      </c>
      <c r="K3" s="7">
        <f>J3/H3*100</f>
        <v/>
      </c>
      <c r="L3" s="5">
        <f>IF(J3&gt;0,"B关机更省","A常开更省")</f>
        <v/>
      </c>
    </row>
    <row r="4">
      <c r="A4" s="2" t="n">
        <v>3</v>
      </c>
      <c r="B4" s="2" t="n">
        <v>2</v>
      </c>
      <c r="C4" s="2" t="n">
        <v>34</v>
      </c>
      <c r="D4" s="2" t="n">
        <v>28</v>
      </c>
      <c r="E4" s="2" t="n">
        <v>24</v>
      </c>
      <c r="F4" s="2" t="n">
        <v>6</v>
      </c>
      <c r="G4" s="2" t="n">
        <v>3.3</v>
      </c>
      <c r="H4" s="3" t="n">
        <v>7.2727</v>
      </c>
      <c r="I4" s="3" t="n">
        <v>7.3577</v>
      </c>
      <c r="J4" s="3">
        <f>H4-I4</f>
        <v/>
      </c>
      <c r="K4" s="4">
        <f>J4/H4*100</f>
        <v/>
      </c>
      <c r="L4" s="2">
        <f>IF(J4&gt;0,"B关机更省","A常开更省")</f>
        <v/>
      </c>
    </row>
    <row r="5">
      <c r="A5" s="5" t="n">
        <v>4</v>
      </c>
      <c r="B5" s="5" t="n">
        <v>2</v>
      </c>
      <c r="C5" s="5" t="n">
        <v>38</v>
      </c>
      <c r="D5" s="5" t="n">
        <v>29</v>
      </c>
      <c r="E5" s="5" t="n">
        <v>25</v>
      </c>
      <c r="F5" s="5" t="n">
        <v>9</v>
      </c>
      <c r="G5" s="5" t="n">
        <v>3.6</v>
      </c>
      <c r="H5" s="6" t="n">
        <v>8.666700000000001</v>
      </c>
      <c r="I5" s="6" t="n">
        <v>8.91</v>
      </c>
      <c r="J5" s="6">
        <f>H5-I5</f>
        <v/>
      </c>
      <c r="K5" s="7">
        <f>J5/H5*100</f>
        <v/>
      </c>
      <c r="L5" s="5">
        <f>IF(J5&gt;0,"B关机更省","A常开更省")</f>
        <v/>
      </c>
    </row>
    <row r="6">
      <c r="A6" s="2" t="n">
        <v>5</v>
      </c>
      <c r="B6" s="2" t="n">
        <v>2</v>
      </c>
      <c r="C6" s="2" t="n">
        <v>40</v>
      </c>
      <c r="D6" s="2" t="n">
        <v>30</v>
      </c>
      <c r="E6" s="2" t="n">
        <v>26</v>
      </c>
      <c r="F6" s="2" t="n">
        <v>12</v>
      </c>
      <c r="G6" s="2" t="n">
        <v>4</v>
      </c>
      <c r="H6" s="3" t="n">
        <v>8.4</v>
      </c>
      <c r="I6" s="3" t="n">
        <v>8.807</v>
      </c>
      <c r="J6" s="3">
        <f>H6-I6</f>
        <v/>
      </c>
      <c r="K6" s="4">
        <f>J6/H6*100</f>
        <v/>
      </c>
      <c r="L6" s="2">
        <f>IF(J6&gt;0,"B关机更省","A常开更省")</f>
        <v/>
      </c>
    </row>
    <row r="7">
      <c r="A7" s="5" t="n">
        <v>6</v>
      </c>
      <c r="B7" s="5" t="n">
        <v>5</v>
      </c>
      <c r="C7" s="5" t="n">
        <v>26</v>
      </c>
      <c r="D7" s="5" t="n">
        <v>27</v>
      </c>
      <c r="E7" s="5" t="n">
        <v>24</v>
      </c>
      <c r="F7" s="5" t="n">
        <v>9</v>
      </c>
      <c r="G7" s="5" t="n">
        <v>4</v>
      </c>
      <c r="H7" s="6" t="n">
        <v>1.2</v>
      </c>
      <c r="I7" s="6" t="n">
        <v>1.3361</v>
      </c>
      <c r="J7" s="6">
        <f>H7-I7</f>
        <v/>
      </c>
      <c r="K7" s="7">
        <f>J7/H7*100</f>
        <v/>
      </c>
      <c r="L7" s="5">
        <f>IF(J7&gt;0,"B关机更省","A常开更省")</f>
        <v/>
      </c>
    </row>
    <row r="8">
      <c r="A8" s="2" t="n">
        <v>7</v>
      </c>
      <c r="B8" s="2" t="n">
        <v>5</v>
      </c>
      <c r="C8" s="2" t="n">
        <v>30</v>
      </c>
      <c r="D8" s="2" t="n">
        <v>28</v>
      </c>
      <c r="E8" s="2" t="n">
        <v>25</v>
      </c>
      <c r="F8" s="2" t="n">
        <v>12</v>
      </c>
      <c r="G8" s="2" t="n">
        <v>2.6</v>
      </c>
      <c r="H8" s="3" t="n">
        <v>4.6154</v>
      </c>
      <c r="I8" s="3" t="n">
        <v>4.7866</v>
      </c>
      <c r="J8" s="3">
        <f>H8-I8</f>
        <v/>
      </c>
      <c r="K8" s="4">
        <f>J8/H8*100</f>
        <v/>
      </c>
      <c r="L8" s="2">
        <f>IF(J8&gt;0,"B关机更省","A常开更省")</f>
        <v/>
      </c>
    </row>
    <row r="9">
      <c r="A9" s="5" t="n">
        <v>8</v>
      </c>
      <c r="B9" s="5" t="n">
        <v>5</v>
      </c>
      <c r="C9" s="5" t="n">
        <v>34</v>
      </c>
      <c r="D9" s="5" t="n">
        <v>29</v>
      </c>
      <c r="E9" s="5" t="n">
        <v>26</v>
      </c>
      <c r="F9" s="5" t="n">
        <v>2</v>
      </c>
      <c r="G9" s="5" t="n">
        <v>3</v>
      </c>
      <c r="H9" s="6" t="n">
        <v>6.4</v>
      </c>
      <c r="I9" s="6" t="n">
        <v>5.404</v>
      </c>
      <c r="J9" s="6">
        <f>H9-I9</f>
        <v/>
      </c>
      <c r="K9" s="7">
        <f>J9/H9*100</f>
        <v/>
      </c>
      <c r="L9" s="5">
        <f>IF(J9&gt;0,"B关机更省","A常开更省")</f>
        <v/>
      </c>
    </row>
    <row r="10">
      <c r="A10" s="2" t="n">
        <v>9</v>
      </c>
      <c r="B10" s="2" t="n">
        <v>5</v>
      </c>
      <c r="C10" s="2" t="n">
        <v>38</v>
      </c>
      <c r="D10" s="2" t="n">
        <v>30</v>
      </c>
      <c r="E10" s="2" t="n">
        <v>22</v>
      </c>
      <c r="F10" s="2" t="n">
        <v>4</v>
      </c>
      <c r="G10" s="2" t="n">
        <v>3.3</v>
      </c>
      <c r="H10" s="3" t="n">
        <v>11.6364</v>
      </c>
      <c r="I10" s="3" t="n">
        <v>10.3198</v>
      </c>
      <c r="J10" s="3">
        <f>H10-I10</f>
        <v/>
      </c>
      <c r="K10" s="4">
        <f>J10/H10*100</f>
        <v/>
      </c>
      <c r="L10" s="2">
        <f>IF(J10&gt;0,"B关机更省","A常开更省")</f>
        <v/>
      </c>
    </row>
    <row r="11">
      <c r="A11" s="5" t="n">
        <v>10</v>
      </c>
      <c r="B11" s="5" t="n">
        <v>5</v>
      </c>
      <c r="C11" s="5" t="n">
        <v>40</v>
      </c>
      <c r="D11" s="5" t="n">
        <v>26</v>
      </c>
      <c r="E11" s="5" t="n">
        <v>23</v>
      </c>
      <c r="F11" s="5" t="n">
        <v>6</v>
      </c>
      <c r="G11" s="5" t="n">
        <v>3.6</v>
      </c>
      <c r="H11" s="6" t="n">
        <v>11.3333</v>
      </c>
      <c r="I11" s="6" t="n">
        <v>10.1851</v>
      </c>
      <c r="J11" s="6">
        <f>H11-I11</f>
        <v/>
      </c>
      <c r="K11" s="7">
        <f>J11/H11*100</f>
        <v/>
      </c>
      <c r="L11" s="5">
        <f>IF(J11&gt;0,"B关机更省","A常开更省")</f>
        <v/>
      </c>
    </row>
    <row r="12">
      <c r="A12" s="2" t="n">
        <v>11</v>
      </c>
      <c r="B12" s="2" t="n">
        <v>8</v>
      </c>
      <c r="C12" s="2" t="n">
        <v>26</v>
      </c>
      <c r="D12" s="2" t="n">
        <v>28</v>
      </c>
      <c r="E12" s="2" t="n">
        <v>26</v>
      </c>
      <c r="F12" s="2" t="n">
        <v>4</v>
      </c>
      <c r="G12" s="2" t="n">
        <v>3.6</v>
      </c>
      <c r="H12" s="3" t="n">
        <v>0</v>
      </c>
      <c r="I12" s="3" t="n">
        <v>0.0501</v>
      </c>
      <c r="J12" s="3">
        <f>H12-I12</f>
        <v/>
      </c>
      <c r="K12" s="4">
        <f>J12/H12*100</f>
        <v/>
      </c>
      <c r="L12" s="2">
        <f>IF(J12&gt;0,"B关机更省","A常开更省")</f>
        <v/>
      </c>
    </row>
    <row r="13">
      <c r="A13" s="5" t="n">
        <v>12</v>
      </c>
      <c r="B13" s="5" t="n">
        <v>8</v>
      </c>
      <c r="C13" s="5" t="n">
        <v>30</v>
      </c>
      <c r="D13" s="5" t="n">
        <v>29</v>
      </c>
      <c r="E13" s="5" t="n">
        <v>22</v>
      </c>
      <c r="F13" s="5" t="n">
        <v>6</v>
      </c>
      <c r="G13" s="5" t="n">
        <v>4</v>
      </c>
      <c r="H13" s="6" t="n">
        <v>4.8</v>
      </c>
      <c r="I13" s="6" t="n">
        <v>3.9736</v>
      </c>
      <c r="J13" s="6">
        <f>H13-I13</f>
        <v/>
      </c>
      <c r="K13" s="7">
        <f>J13/H13*100</f>
        <v/>
      </c>
      <c r="L13" s="5">
        <f>IF(J13&gt;0,"B关机更省","A常开更省")</f>
        <v/>
      </c>
    </row>
    <row r="14">
      <c r="A14" s="2" t="n">
        <v>13</v>
      </c>
      <c r="B14" s="2" t="n">
        <v>8</v>
      </c>
      <c r="C14" s="2" t="n">
        <v>34</v>
      </c>
      <c r="D14" s="2" t="n">
        <v>30</v>
      </c>
      <c r="E14" s="2" t="n">
        <v>23</v>
      </c>
      <c r="F14" s="2" t="n">
        <v>9</v>
      </c>
      <c r="G14" s="2" t="n">
        <v>2.6</v>
      </c>
      <c r="H14" s="3" t="n">
        <v>10.1538</v>
      </c>
      <c r="I14" s="3" t="n">
        <v>8.9282</v>
      </c>
      <c r="J14" s="3">
        <f>H14-I14</f>
        <v/>
      </c>
      <c r="K14" s="4">
        <f>J14/H14*100</f>
        <v/>
      </c>
      <c r="L14" s="2">
        <f>IF(J14&gt;0,"B关机更省","A常开更省")</f>
        <v/>
      </c>
    </row>
    <row r="15">
      <c r="A15" s="5" t="n">
        <v>14</v>
      </c>
      <c r="B15" s="5" t="n">
        <v>8</v>
      </c>
      <c r="C15" s="5" t="n">
        <v>38</v>
      </c>
      <c r="D15" s="5" t="n">
        <v>26</v>
      </c>
      <c r="E15" s="5" t="n">
        <v>24</v>
      </c>
      <c r="F15" s="5" t="n">
        <v>12</v>
      </c>
      <c r="G15" s="5" t="n">
        <v>3</v>
      </c>
      <c r="H15" s="6" t="n">
        <v>11.2</v>
      </c>
      <c r="I15" s="6" t="n">
        <v>9.5571</v>
      </c>
      <c r="J15" s="6">
        <f>H15-I15</f>
        <v/>
      </c>
      <c r="K15" s="7">
        <f>J15/H15*100</f>
        <v/>
      </c>
      <c r="L15" s="5">
        <f>IF(J15&gt;0,"B关机更省","A常开更省")</f>
        <v/>
      </c>
    </row>
    <row r="16">
      <c r="A16" s="2" t="n">
        <v>15</v>
      </c>
      <c r="B16" s="2" t="n">
        <v>8</v>
      </c>
      <c r="C16" s="2" t="n">
        <v>40</v>
      </c>
      <c r="D16" s="2" t="n">
        <v>27</v>
      </c>
      <c r="E16" s="2" t="n">
        <v>25</v>
      </c>
      <c r="F16" s="2" t="n">
        <v>2</v>
      </c>
      <c r="G16" s="2" t="n">
        <v>3.3</v>
      </c>
      <c r="H16" s="3" t="n">
        <v>10.9091</v>
      </c>
      <c r="I16" s="3" t="n">
        <v>7.8692</v>
      </c>
      <c r="J16" s="3">
        <f>H16-I16</f>
        <v/>
      </c>
      <c r="K16" s="4">
        <f>J16/H16*100</f>
        <v/>
      </c>
      <c r="L16" s="2">
        <f>IF(J16&gt;0,"B关机更省","A常开更省")</f>
        <v/>
      </c>
    </row>
    <row r="17">
      <c r="A17" s="5" t="n">
        <v>16</v>
      </c>
      <c r="B17" s="5" t="n">
        <v>11</v>
      </c>
      <c r="C17" s="5" t="n">
        <v>26</v>
      </c>
      <c r="D17" s="5" t="n">
        <v>29</v>
      </c>
      <c r="E17" s="5" t="n">
        <v>23</v>
      </c>
      <c r="F17" s="5" t="n">
        <v>12</v>
      </c>
      <c r="G17" s="5" t="n">
        <v>3.3</v>
      </c>
      <c r="H17" s="6" t="n">
        <v>2.1818</v>
      </c>
      <c r="I17" s="6" t="n">
        <v>2.5452</v>
      </c>
      <c r="J17" s="6">
        <f>H17-I17</f>
        <v/>
      </c>
      <c r="K17" s="7">
        <f>J17/H17*100</f>
        <v/>
      </c>
      <c r="L17" s="5">
        <f>IF(J17&gt;0,"B关机更省","A常开更省")</f>
        <v/>
      </c>
    </row>
    <row r="18">
      <c r="A18" s="2" t="n">
        <v>17</v>
      </c>
      <c r="B18" s="2" t="n">
        <v>11</v>
      </c>
      <c r="C18" s="2" t="n">
        <v>30</v>
      </c>
      <c r="D18" s="2" t="n">
        <v>30</v>
      </c>
      <c r="E18" s="2" t="n">
        <v>24</v>
      </c>
      <c r="F18" s="2" t="n">
        <v>2</v>
      </c>
      <c r="G18" s="2" t="n">
        <v>3.6</v>
      </c>
      <c r="H18" s="3" t="n">
        <v>4</v>
      </c>
      <c r="I18" s="3" t="n">
        <v>2.3889</v>
      </c>
      <c r="J18" s="3">
        <f>H18-I18</f>
        <v/>
      </c>
      <c r="K18" s="4">
        <f>J18/H18*100</f>
        <v/>
      </c>
      <c r="L18" s="2">
        <f>IF(J18&gt;0,"B关机更省","A常开更省")</f>
        <v/>
      </c>
    </row>
    <row r="19">
      <c r="A19" s="5" t="n">
        <v>18</v>
      </c>
      <c r="B19" s="5" t="n">
        <v>11</v>
      </c>
      <c r="C19" s="5" t="n">
        <v>34</v>
      </c>
      <c r="D19" s="5" t="n">
        <v>26</v>
      </c>
      <c r="E19" s="5" t="n">
        <v>25</v>
      </c>
      <c r="F19" s="5" t="n">
        <v>4</v>
      </c>
      <c r="G19" s="5" t="n">
        <v>4</v>
      </c>
      <c r="H19" s="6" t="n">
        <v>5.4</v>
      </c>
      <c r="I19" s="6" t="n">
        <v>3.4909</v>
      </c>
      <c r="J19" s="6">
        <f>H19-I19</f>
        <v/>
      </c>
      <c r="K19" s="7">
        <f>J19/H19*100</f>
        <v/>
      </c>
      <c r="L19" s="5">
        <f>IF(J19&gt;0,"B关机更省","A常开更省")</f>
        <v/>
      </c>
    </row>
    <row r="20">
      <c r="A20" s="2" t="n">
        <v>19</v>
      </c>
      <c r="B20" s="2" t="n">
        <v>11</v>
      </c>
      <c r="C20" s="2" t="n">
        <v>38</v>
      </c>
      <c r="D20" s="2" t="n">
        <v>27</v>
      </c>
      <c r="E20" s="2" t="n">
        <v>26</v>
      </c>
      <c r="F20" s="2" t="n">
        <v>6</v>
      </c>
      <c r="G20" s="2" t="n">
        <v>2.6</v>
      </c>
      <c r="H20" s="3" t="n">
        <v>11.0769</v>
      </c>
      <c r="I20" s="3" t="n">
        <v>7.5756</v>
      </c>
      <c r="J20" s="3">
        <f>H20-I20</f>
        <v/>
      </c>
      <c r="K20" s="4">
        <f>J20/H20*100</f>
        <v/>
      </c>
      <c r="L20" s="2">
        <f>IF(J20&gt;0,"B关机更省","A常开更省")</f>
        <v/>
      </c>
    </row>
    <row r="21">
      <c r="A21" s="5" t="n">
        <v>20</v>
      </c>
      <c r="B21" s="5" t="n">
        <v>11</v>
      </c>
      <c r="C21" s="5" t="n">
        <v>40</v>
      </c>
      <c r="D21" s="5" t="n">
        <v>28</v>
      </c>
      <c r="E21" s="5" t="n">
        <v>22</v>
      </c>
      <c r="F21" s="5" t="n">
        <v>9</v>
      </c>
      <c r="G21" s="5" t="n">
        <v>3</v>
      </c>
      <c r="H21" s="6" t="n">
        <v>14.4</v>
      </c>
      <c r="I21" s="6" t="n">
        <v>10.693</v>
      </c>
      <c r="J21" s="6">
        <f>H21-I21</f>
        <v/>
      </c>
      <c r="K21" s="7">
        <f>J21/H21*100</f>
        <v/>
      </c>
      <c r="L21" s="5">
        <f>IF(J21&gt;0,"B关机更省","A常开更省")</f>
        <v/>
      </c>
    </row>
    <row r="22">
      <c r="A22" s="2" t="n">
        <v>21</v>
      </c>
      <c r="B22" s="2" t="n">
        <v>14</v>
      </c>
      <c r="C22" s="2" t="n">
        <v>26</v>
      </c>
      <c r="D22" s="2" t="n">
        <v>30</v>
      </c>
      <c r="E22" s="2" t="n">
        <v>25</v>
      </c>
      <c r="F22" s="2" t="n">
        <v>6</v>
      </c>
      <c r="G22" s="2" t="n">
        <v>3</v>
      </c>
      <c r="H22" s="3" t="n">
        <v>0.8</v>
      </c>
      <c r="I22" s="3" t="n">
        <v>0.5184</v>
      </c>
      <c r="J22" s="3">
        <f>H22-I22</f>
        <v/>
      </c>
      <c r="K22" s="4">
        <f>J22/H22*100</f>
        <v/>
      </c>
      <c r="L22" s="2">
        <f>IF(J22&gt;0,"B关机更省","A常开更省")</f>
        <v/>
      </c>
    </row>
    <row r="23">
      <c r="A23" s="5" t="n">
        <v>22</v>
      </c>
      <c r="B23" s="5" t="n">
        <v>14</v>
      </c>
      <c r="C23" s="5" t="n">
        <v>30</v>
      </c>
      <c r="D23" s="5" t="n">
        <v>26</v>
      </c>
      <c r="E23" s="5" t="n">
        <v>26</v>
      </c>
      <c r="F23" s="5" t="n">
        <v>9</v>
      </c>
      <c r="G23" s="5" t="n">
        <v>3.3</v>
      </c>
      <c r="H23" s="6" t="n">
        <v>2.9091</v>
      </c>
      <c r="I23" s="6" t="n">
        <v>1.7859</v>
      </c>
      <c r="J23" s="6">
        <f>H23-I23</f>
        <v/>
      </c>
      <c r="K23" s="7">
        <f>J23/H23*100</f>
        <v/>
      </c>
      <c r="L23" s="5">
        <f>IF(J23&gt;0,"B关机更省","A常开更省")</f>
        <v/>
      </c>
    </row>
    <row r="24">
      <c r="A24" s="2" t="n">
        <v>23</v>
      </c>
      <c r="B24" s="2" t="n">
        <v>14</v>
      </c>
      <c r="C24" s="2" t="n">
        <v>34</v>
      </c>
      <c r="D24" s="2" t="n">
        <v>27</v>
      </c>
      <c r="E24" s="2" t="n">
        <v>22</v>
      </c>
      <c r="F24" s="2" t="n">
        <v>12</v>
      </c>
      <c r="G24" s="2" t="n">
        <v>3.6</v>
      </c>
      <c r="H24" s="3" t="n">
        <v>8</v>
      </c>
      <c r="I24" s="3" t="n">
        <v>5.5156</v>
      </c>
      <c r="J24" s="3">
        <f>H24-I24</f>
        <v/>
      </c>
      <c r="K24" s="4">
        <f>J24/H24*100</f>
        <v/>
      </c>
      <c r="L24" s="2">
        <f>IF(J24&gt;0,"B关机更省","A常开更省")</f>
        <v/>
      </c>
    </row>
    <row r="25">
      <c r="A25" s="5" t="n">
        <v>24</v>
      </c>
      <c r="B25" s="5" t="n">
        <v>14</v>
      </c>
      <c r="C25" s="5" t="n">
        <v>38</v>
      </c>
      <c r="D25" s="5" t="n">
        <v>28</v>
      </c>
      <c r="E25" s="5" t="n">
        <v>23</v>
      </c>
      <c r="F25" s="5" t="n">
        <v>2</v>
      </c>
      <c r="G25" s="5" t="n">
        <v>4</v>
      </c>
      <c r="H25" s="6" t="n">
        <v>9</v>
      </c>
      <c r="I25" s="6" t="n">
        <v>4.2497</v>
      </c>
      <c r="J25" s="6">
        <f>H25-I25</f>
        <v/>
      </c>
      <c r="K25" s="7">
        <f>J25/H25*100</f>
        <v/>
      </c>
      <c r="L25" s="5">
        <f>IF(J25&gt;0,"B关机更省","A常开更省")</f>
        <v/>
      </c>
    </row>
    <row r="26">
      <c r="A26" s="2" t="n">
        <v>25</v>
      </c>
      <c r="B26" s="2" t="n">
        <v>14</v>
      </c>
      <c r="C26" s="2" t="n">
        <v>40</v>
      </c>
      <c r="D26" s="2" t="n">
        <v>29</v>
      </c>
      <c r="E26" s="2" t="n">
        <v>24</v>
      </c>
      <c r="F26" s="2" t="n">
        <v>4</v>
      </c>
      <c r="G26" s="2" t="n">
        <v>2.6</v>
      </c>
      <c r="H26" s="3" t="n">
        <v>14.7692</v>
      </c>
      <c r="I26" s="3" t="n">
        <v>7.7608</v>
      </c>
      <c r="J26" s="3">
        <f>H26-I26</f>
        <v/>
      </c>
      <c r="K26" s="4">
        <f>J26/H26*100</f>
        <v/>
      </c>
      <c r="L26" s="2">
        <f>IF(J26&gt;0,"B关机更省","A常开更省")</f>
        <v/>
      </c>
    </row>
    <row r="27">
      <c r="A27" s="5" t="n">
        <v>26</v>
      </c>
      <c r="B27" s="5" t="n">
        <v>2</v>
      </c>
      <c r="C27" s="5" t="n">
        <v>26</v>
      </c>
      <c r="D27" s="5" t="n">
        <v>26</v>
      </c>
      <c r="E27" s="5" t="n">
        <v>22</v>
      </c>
      <c r="F27" s="5" t="n">
        <v>2</v>
      </c>
      <c r="G27" s="5" t="n">
        <v>2.6</v>
      </c>
      <c r="H27" s="6" t="n">
        <v>3.6923</v>
      </c>
      <c r="I27" s="6" t="n">
        <v>3.5897</v>
      </c>
      <c r="J27" s="6">
        <f>H27-I27</f>
        <v/>
      </c>
      <c r="K27" s="7">
        <f>J27/H27*100</f>
        <v/>
      </c>
      <c r="L27" s="5">
        <f>IF(J27&gt;0,"B关机更省","A常开更省")</f>
        <v/>
      </c>
    </row>
    <row r="28">
      <c r="A28" s="2" t="n">
        <v>27</v>
      </c>
      <c r="B28" s="2" t="n">
        <v>2</v>
      </c>
      <c r="C28" s="2" t="n">
        <v>30</v>
      </c>
      <c r="D28" s="2" t="n">
        <v>27</v>
      </c>
      <c r="E28" s="2" t="n">
        <v>23</v>
      </c>
      <c r="F28" s="2" t="n">
        <v>4</v>
      </c>
      <c r="G28" s="2" t="n">
        <v>3</v>
      </c>
      <c r="H28" s="3" t="n">
        <v>5.6</v>
      </c>
      <c r="I28" s="3" t="n">
        <v>5.5938</v>
      </c>
      <c r="J28" s="3">
        <f>H28-I28</f>
        <v/>
      </c>
      <c r="K28" s="4">
        <f>J28/H28*100</f>
        <v/>
      </c>
      <c r="L28" s="2">
        <f>IF(J28&gt;0,"B关机更省","A常开更省")</f>
        <v/>
      </c>
    </row>
    <row r="29">
      <c r="A29" s="5" t="n">
        <v>28</v>
      </c>
      <c r="B29" s="5" t="n">
        <v>2</v>
      </c>
      <c r="C29" s="5" t="n">
        <v>34</v>
      </c>
      <c r="D29" s="5" t="n">
        <v>28</v>
      </c>
      <c r="E29" s="5" t="n">
        <v>24</v>
      </c>
      <c r="F29" s="5" t="n">
        <v>6</v>
      </c>
      <c r="G29" s="5" t="n">
        <v>3.3</v>
      </c>
      <c r="H29" s="6" t="n">
        <v>7.2727</v>
      </c>
      <c r="I29" s="6" t="n">
        <v>7.3577</v>
      </c>
      <c r="J29" s="6">
        <f>H29-I29</f>
        <v/>
      </c>
      <c r="K29" s="7">
        <f>J29/H29*100</f>
        <v/>
      </c>
      <c r="L29" s="5">
        <f>IF(J29&gt;0,"B关机更省","A常开更省")</f>
        <v/>
      </c>
    </row>
    <row r="30">
      <c r="A30" s="2" t="n">
        <v>29</v>
      </c>
      <c r="B30" s="2" t="n">
        <v>2</v>
      </c>
      <c r="C30" s="2" t="n">
        <v>38</v>
      </c>
      <c r="D30" s="2" t="n">
        <v>29</v>
      </c>
      <c r="E30" s="2" t="n">
        <v>25</v>
      </c>
      <c r="F30" s="2" t="n">
        <v>9</v>
      </c>
      <c r="G30" s="2" t="n">
        <v>3.6</v>
      </c>
      <c r="H30" s="3" t="n">
        <v>8.666700000000001</v>
      </c>
      <c r="I30" s="3" t="n">
        <v>8.91</v>
      </c>
      <c r="J30" s="3">
        <f>H30-I30</f>
        <v/>
      </c>
      <c r="K30" s="4">
        <f>J30/H30*100</f>
        <v/>
      </c>
      <c r="L30" s="2">
        <f>IF(J30&gt;0,"B关机更省","A常开更省")</f>
        <v/>
      </c>
    </row>
    <row r="31">
      <c r="A31" s="5" t="n">
        <v>30</v>
      </c>
      <c r="B31" s="5" t="n">
        <v>2</v>
      </c>
      <c r="C31" s="5" t="n">
        <v>40</v>
      </c>
      <c r="D31" s="5" t="n">
        <v>30</v>
      </c>
      <c r="E31" s="5" t="n">
        <v>26</v>
      </c>
      <c r="F31" s="5" t="n">
        <v>12</v>
      </c>
      <c r="G31" s="5" t="n">
        <v>4</v>
      </c>
      <c r="H31" s="6" t="n">
        <v>8.4</v>
      </c>
      <c r="I31" s="6" t="n">
        <v>8.807</v>
      </c>
      <c r="J31" s="6">
        <f>H31-I31</f>
        <v/>
      </c>
      <c r="K31" s="7">
        <f>J31/H31*100</f>
        <v/>
      </c>
      <c r="L31" s="5">
        <f>IF(J31&gt;0,"B关机更省","A常开更省")</f>
        <v/>
      </c>
    </row>
    <row r="32">
      <c r="A32" s="2" t="n">
        <v>31</v>
      </c>
      <c r="B32" s="2" t="n">
        <v>5</v>
      </c>
      <c r="C32" s="2" t="n">
        <v>26</v>
      </c>
      <c r="D32" s="2" t="n">
        <v>27</v>
      </c>
      <c r="E32" s="2" t="n">
        <v>24</v>
      </c>
      <c r="F32" s="2" t="n">
        <v>9</v>
      </c>
      <c r="G32" s="2" t="n">
        <v>4</v>
      </c>
      <c r="H32" s="3" t="n">
        <v>1.2</v>
      </c>
      <c r="I32" s="3" t="n">
        <v>1.3361</v>
      </c>
      <c r="J32" s="3">
        <f>H32-I32</f>
        <v/>
      </c>
      <c r="K32" s="4">
        <f>J32/H32*100</f>
        <v/>
      </c>
      <c r="L32" s="2">
        <f>IF(J32&gt;0,"B关机更省","A常开更省")</f>
        <v/>
      </c>
    </row>
    <row r="33">
      <c r="A33" s="5" t="n">
        <v>32</v>
      </c>
      <c r="B33" s="5" t="n">
        <v>5</v>
      </c>
      <c r="C33" s="5" t="n">
        <v>30</v>
      </c>
      <c r="D33" s="5" t="n">
        <v>28</v>
      </c>
      <c r="E33" s="5" t="n">
        <v>25</v>
      </c>
      <c r="F33" s="5" t="n">
        <v>12</v>
      </c>
      <c r="G33" s="5" t="n">
        <v>2.6</v>
      </c>
      <c r="H33" s="6" t="n">
        <v>4.6154</v>
      </c>
      <c r="I33" s="6" t="n">
        <v>4.7866</v>
      </c>
      <c r="J33" s="6">
        <f>H33-I33</f>
        <v/>
      </c>
      <c r="K33" s="7">
        <f>J33/H33*100</f>
        <v/>
      </c>
      <c r="L33" s="5">
        <f>IF(J33&gt;0,"B关机更省","A常开更省")</f>
        <v/>
      </c>
    </row>
    <row r="34">
      <c r="A34" s="2" t="n">
        <v>33</v>
      </c>
      <c r="B34" s="2" t="n">
        <v>5</v>
      </c>
      <c r="C34" s="2" t="n">
        <v>34</v>
      </c>
      <c r="D34" s="2" t="n">
        <v>29</v>
      </c>
      <c r="E34" s="2" t="n">
        <v>26</v>
      </c>
      <c r="F34" s="2" t="n">
        <v>2</v>
      </c>
      <c r="G34" s="2" t="n">
        <v>3</v>
      </c>
      <c r="H34" s="3" t="n">
        <v>6.4</v>
      </c>
      <c r="I34" s="3" t="n">
        <v>5.404</v>
      </c>
      <c r="J34" s="3">
        <f>H34-I34</f>
        <v/>
      </c>
      <c r="K34" s="4">
        <f>J34/H34*100</f>
        <v/>
      </c>
      <c r="L34" s="2">
        <f>IF(J34&gt;0,"B关机更省","A常开更省")</f>
        <v/>
      </c>
    </row>
    <row r="35">
      <c r="A35" s="5" t="n">
        <v>34</v>
      </c>
      <c r="B35" s="5" t="n">
        <v>5</v>
      </c>
      <c r="C35" s="5" t="n">
        <v>38</v>
      </c>
      <c r="D35" s="5" t="n">
        <v>30</v>
      </c>
      <c r="E35" s="5" t="n">
        <v>22</v>
      </c>
      <c r="F35" s="5" t="n">
        <v>4</v>
      </c>
      <c r="G35" s="5" t="n">
        <v>3.3</v>
      </c>
      <c r="H35" s="6" t="n">
        <v>11.6364</v>
      </c>
      <c r="I35" s="6" t="n">
        <v>10.3198</v>
      </c>
      <c r="J35" s="6">
        <f>H35-I35</f>
        <v/>
      </c>
      <c r="K35" s="7">
        <f>J35/H35*100</f>
        <v/>
      </c>
      <c r="L35" s="5">
        <f>IF(J35&gt;0,"B关机更省","A常开更省")</f>
        <v/>
      </c>
    </row>
    <row r="36">
      <c r="A36" s="2" t="n">
        <v>35</v>
      </c>
      <c r="B36" s="2" t="n">
        <v>5</v>
      </c>
      <c r="C36" s="2" t="n">
        <v>40</v>
      </c>
      <c r="D36" s="2" t="n">
        <v>26</v>
      </c>
      <c r="E36" s="2" t="n">
        <v>23</v>
      </c>
      <c r="F36" s="2" t="n">
        <v>6</v>
      </c>
      <c r="G36" s="2" t="n">
        <v>3.6</v>
      </c>
      <c r="H36" s="3" t="n">
        <v>11.3333</v>
      </c>
      <c r="I36" s="3" t="n">
        <v>10.1851</v>
      </c>
      <c r="J36" s="3">
        <f>H36-I36</f>
        <v/>
      </c>
      <c r="K36" s="4">
        <f>J36/H36*100</f>
        <v/>
      </c>
      <c r="L36" s="2">
        <f>IF(J36&gt;0,"B关机更省","A常开更省")</f>
        <v/>
      </c>
    </row>
    <row r="37">
      <c r="A37" s="5" t="n">
        <v>36</v>
      </c>
      <c r="B37" s="5" t="n">
        <v>8</v>
      </c>
      <c r="C37" s="5" t="n">
        <v>26</v>
      </c>
      <c r="D37" s="5" t="n">
        <v>28</v>
      </c>
      <c r="E37" s="5" t="n">
        <v>26</v>
      </c>
      <c r="F37" s="5" t="n">
        <v>4</v>
      </c>
      <c r="G37" s="5" t="n">
        <v>3.6</v>
      </c>
      <c r="H37" s="6" t="n">
        <v>0</v>
      </c>
      <c r="I37" s="6" t="n">
        <v>0.0501</v>
      </c>
      <c r="J37" s="6">
        <f>H37-I37</f>
        <v/>
      </c>
      <c r="K37" s="7">
        <f>J37/H37*100</f>
        <v/>
      </c>
      <c r="L37" s="5">
        <f>IF(J37&gt;0,"B关机更省","A常开更省")</f>
        <v/>
      </c>
    </row>
    <row r="38">
      <c r="A38" s="2" t="n">
        <v>37</v>
      </c>
      <c r="B38" s="2" t="n">
        <v>8</v>
      </c>
      <c r="C38" s="2" t="n">
        <v>30</v>
      </c>
      <c r="D38" s="2" t="n">
        <v>29</v>
      </c>
      <c r="E38" s="2" t="n">
        <v>22</v>
      </c>
      <c r="F38" s="2" t="n">
        <v>6</v>
      </c>
      <c r="G38" s="2" t="n">
        <v>4</v>
      </c>
      <c r="H38" s="3" t="n">
        <v>4.8</v>
      </c>
      <c r="I38" s="3" t="n">
        <v>3.9736</v>
      </c>
      <c r="J38" s="3">
        <f>H38-I38</f>
        <v/>
      </c>
      <c r="K38" s="4">
        <f>J38/H38*100</f>
        <v/>
      </c>
      <c r="L38" s="2">
        <f>IF(J38&gt;0,"B关机更省","A常开更省")</f>
        <v/>
      </c>
    </row>
    <row r="39">
      <c r="A39" s="5" t="n">
        <v>38</v>
      </c>
      <c r="B39" s="5" t="n">
        <v>8</v>
      </c>
      <c r="C39" s="5" t="n">
        <v>34</v>
      </c>
      <c r="D39" s="5" t="n">
        <v>30</v>
      </c>
      <c r="E39" s="5" t="n">
        <v>23</v>
      </c>
      <c r="F39" s="5" t="n">
        <v>9</v>
      </c>
      <c r="G39" s="5" t="n">
        <v>2.6</v>
      </c>
      <c r="H39" s="6" t="n">
        <v>10.1538</v>
      </c>
      <c r="I39" s="6" t="n">
        <v>8.9282</v>
      </c>
      <c r="J39" s="6">
        <f>H39-I39</f>
        <v/>
      </c>
      <c r="K39" s="7">
        <f>J39/H39*100</f>
        <v/>
      </c>
      <c r="L39" s="5">
        <f>IF(J39&gt;0,"B关机更省","A常开更省")</f>
        <v/>
      </c>
    </row>
    <row r="40">
      <c r="A40" s="2" t="n">
        <v>39</v>
      </c>
      <c r="B40" s="2" t="n">
        <v>8</v>
      </c>
      <c r="C40" s="2" t="n">
        <v>38</v>
      </c>
      <c r="D40" s="2" t="n">
        <v>26</v>
      </c>
      <c r="E40" s="2" t="n">
        <v>24</v>
      </c>
      <c r="F40" s="2" t="n">
        <v>12</v>
      </c>
      <c r="G40" s="2" t="n">
        <v>3</v>
      </c>
      <c r="H40" s="3" t="n">
        <v>11.2</v>
      </c>
      <c r="I40" s="3" t="n">
        <v>9.5571</v>
      </c>
      <c r="J40" s="3">
        <f>H40-I40</f>
        <v/>
      </c>
      <c r="K40" s="4">
        <f>J40/H40*100</f>
        <v/>
      </c>
      <c r="L40" s="2">
        <f>IF(J40&gt;0,"B关机更省","A常开更省")</f>
        <v/>
      </c>
    </row>
    <row r="41">
      <c r="A41" s="5" t="n">
        <v>40</v>
      </c>
      <c r="B41" s="5" t="n">
        <v>8</v>
      </c>
      <c r="C41" s="5" t="n">
        <v>40</v>
      </c>
      <c r="D41" s="5" t="n">
        <v>27</v>
      </c>
      <c r="E41" s="5" t="n">
        <v>25</v>
      </c>
      <c r="F41" s="5" t="n">
        <v>2</v>
      </c>
      <c r="G41" s="5" t="n">
        <v>3.3</v>
      </c>
      <c r="H41" s="6" t="n">
        <v>10.9091</v>
      </c>
      <c r="I41" s="6" t="n">
        <v>7.8692</v>
      </c>
      <c r="J41" s="6">
        <f>H41-I41</f>
        <v/>
      </c>
      <c r="K41" s="7">
        <f>J41/H41*100</f>
        <v/>
      </c>
      <c r="L41" s="5">
        <f>IF(J41&gt;0,"B关机更省","A常开更省")</f>
        <v/>
      </c>
    </row>
    <row r="42">
      <c r="A42" s="2" t="n">
        <v>41</v>
      </c>
      <c r="B42" s="2" t="n">
        <v>11</v>
      </c>
      <c r="C42" s="2" t="n">
        <v>26</v>
      </c>
      <c r="D42" s="2" t="n">
        <v>29</v>
      </c>
      <c r="E42" s="2" t="n">
        <v>23</v>
      </c>
      <c r="F42" s="2" t="n">
        <v>12</v>
      </c>
      <c r="G42" s="2" t="n">
        <v>3.3</v>
      </c>
      <c r="H42" s="3" t="n">
        <v>2.1818</v>
      </c>
      <c r="I42" s="3" t="n">
        <v>2.5452</v>
      </c>
      <c r="J42" s="3">
        <f>H42-I42</f>
        <v/>
      </c>
      <c r="K42" s="4">
        <f>J42/H42*100</f>
        <v/>
      </c>
      <c r="L42" s="2">
        <f>IF(J42&gt;0,"B关机更省","A常开更省")</f>
        <v/>
      </c>
    </row>
    <row r="43">
      <c r="A43" s="5" t="n">
        <v>42</v>
      </c>
      <c r="B43" s="5" t="n">
        <v>11</v>
      </c>
      <c r="C43" s="5" t="n">
        <v>30</v>
      </c>
      <c r="D43" s="5" t="n">
        <v>30</v>
      </c>
      <c r="E43" s="5" t="n">
        <v>24</v>
      </c>
      <c r="F43" s="5" t="n">
        <v>2</v>
      </c>
      <c r="G43" s="5" t="n">
        <v>3.6</v>
      </c>
      <c r="H43" s="6" t="n">
        <v>4</v>
      </c>
      <c r="I43" s="6" t="n">
        <v>2.3889</v>
      </c>
      <c r="J43" s="6">
        <f>H43-I43</f>
        <v/>
      </c>
      <c r="K43" s="7">
        <f>J43/H43*100</f>
        <v/>
      </c>
      <c r="L43" s="5">
        <f>IF(J43&gt;0,"B关机更省","A常开更省")</f>
        <v/>
      </c>
    </row>
    <row r="44">
      <c r="A44" s="2" t="n">
        <v>43</v>
      </c>
      <c r="B44" s="2" t="n">
        <v>11</v>
      </c>
      <c r="C44" s="2" t="n">
        <v>34</v>
      </c>
      <c r="D44" s="2" t="n">
        <v>26</v>
      </c>
      <c r="E44" s="2" t="n">
        <v>25</v>
      </c>
      <c r="F44" s="2" t="n">
        <v>4</v>
      </c>
      <c r="G44" s="2" t="n">
        <v>4</v>
      </c>
      <c r="H44" s="3" t="n">
        <v>5.4</v>
      </c>
      <c r="I44" s="3" t="n">
        <v>3.4909</v>
      </c>
      <c r="J44" s="3">
        <f>H44-I44</f>
        <v/>
      </c>
      <c r="K44" s="4">
        <f>J44/H44*100</f>
        <v/>
      </c>
      <c r="L44" s="2">
        <f>IF(J44&gt;0,"B关机更省","A常开更省")</f>
        <v/>
      </c>
    </row>
    <row r="45">
      <c r="A45" s="5" t="n">
        <v>44</v>
      </c>
      <c r="B45" s="5" t="n">
        <v>11</v>
      </c>
      <c r="C45" s="5" t="n">
        <v>38</v>
      </c>
      <c r="D45" s="5" t="n">
        <v>27</v>
      </c>
      <c r="E45" s="5" t="n">
        <v>26</v>
      </c>
      <c r="F45" s="5" t="n">
        <v>6</v>
      </c>
      <c r="G45" s="5" t="n">
        <v>2.6</v>
      </c>
      <c r="H45" s="6" t="n">
        <v>11.0769</v>
      </c>
      <c r="I45" s="6" t="n">
        <v>7.5756</v>
      </c>
      <c r="J45" s="6">
        <f>H45-I45</f>
        <v/>
      </c>
      <c r="K45" s="7">
        <f>J45/H45*100</f>
        <v/>
      </c>
      <c r="L45" s="5">
        <f>IF(J45&gt;0,"B关机更省","A常开更省")</f>
        <v/>
      </c>
    </row>
    <row r="46">
      <c r="A46" s="2" t="n">
        <v>45</v>
      </c>
      <c r="B46" s="2" t="n">
        <v>11</v>
      </c>
      <c r="C46" s="2" t="n">
        <v>40</v>
      </c>
      <c r="D46" s="2" t="n">
        <v>28</v>
      </c>
      <c r="E46" s="2" t="n">
        <v>22</v>
      </c>
      <c r="F46" s="2" t="n">
        <v>9</v>
      </c>
      <c r="G46" s="2" t="n">
        <v>3</v>
      </c>
      <c r="H46" s="3" t="n">
        <v>14.4</v>
      </c>
      <c r="I46" s="3" t="n">
        <v>10.693</v>
      </c>
      <c r="J46" s="3">
        <f>H46-I46</f>
        <v/>
      </c>
      <c r="K46" s="4">
        <f>J46/H46*100</f>
        <v/>
      </c>
      <c r="L46" s="2">
        <f>IF(J46&gt;0,"B关机更省","A常开更省")</f>
        <v/>
      </c>
    </row>
    <row r="47">
      <c r="A47" s="5" t="n">
        <v>46</v>
      </c>
      <c r="B47" s="5" t="n">
        <v>14</v>
      </c>
      <c r="C47" s="5" t="n">
        <v>26</v>
      </c>
      <c r="D47" s="5" t="n">
        <v>30</v>
      </c>
      <c r="E47" s="5" t="n">
        <v>25</v>
      </c>
      <c r="F47" s="5" t="n">
        <v>6</v>
      </c>
      <c r="G47" s="5" t="n">
        <v>3</v>
      </c>
      <c r="H47" s="6" t="n">
        <v>0.8</v>
      </c>
      <c r="I47" s="6" t="n">
        <v>0.5184</v>
      </c>
      <c r="J47" s="6">
        <f>H47-I47</f>
        <v/>
      </c>
      <c r="K47" s="7">
        <f>J47/H47*100</f>
        <v/>
      </c>
      <c r="L47" s="5">
        <f>IF(J47&gt;0,"B关机更省","A常开更省")</f>
        <v/>
      </c>
    </row>
    <row r="48">
      <c r="A48" s="2" t="n">
        <v>47</v>
      </c>
      <c r="B48" s="2" t="n">
        <v>14</v>
      </c>
      <c r="C48" s="2" t="n">
        <v>30</v>
      </c>
      <c r="D48" s="2" t="n">
        <v>26</v>
      </c>
      <c r="E48" s="2" t="n">
        <v>26</v>
      </c>
      <c r="F48" s="2" t="n">
        <v>9</v>
      </c>
      <c r="G48" s="2" t="n">
        <v>3.3</v>
      </c>
      <c r="H48" s="3" t="n">
        <v>2.9091</v>
      </c>
      <c r="I48" s="3" t="n">
        <v>1.7859</v>
      </c>
      <c r="J48" s="3">
        <f>H48-I48</f>
        <v/>
      </c>
      <c r="K48" s="4">
        <f>J48/H48*100</f>
        <v/>
      </c>
      <c r="L48" s="2">
        <f>IF(J48&gt;0,"B关机更省","A常开更省")</f>
        <v/>
      </c>
    </row>
    <row r="49">
      <c r="A49" s="5" t="n">
        <v>48</v>
      </c>
      <c r="B49" s="5" t="n">
        <v>14</v>
      </c>
      <c r="C49" s="5" t="n">
        <v>34</v>
      </c>
      <c r="D49" s="5" t="n">
        <v>27</v>
      </c>
      <c r="E49" s="5" t="n">
        <v>22</v>
      </c>
      <c r="F49" s="5" t="n">
        <v>12</v>
      </c>
      <c r="G49" s="5" t="n">
        <v>3.6</v>
      </c>
      <c r="H49" s="6" t="n">
        <v>8</v>
      </c>
      <c r="I49" s="6" t="n">
        <v>5.5156</v>
      </c>
      <c r="J49" s="6">
        <f>H49-I49</f>
        <v/>
      </c>
      <c r="K49" s="7">
        <f>J49/H49*100</f>
        <v/>
      </c>
      <c r="L49" s="5">
        <f>IF(J49&gt;0,"B关机更省","A常开更省")</f>
        <v/>
      </c>
    </row>
    <row r="50">
      <c r="A50" s="2" t="n">
        <v>49</v>
      </c>
      <c r="B50" s="2" t="n">
        <v>14</v>
      </c>
      <c r="C50" s="2" t="n">
        <v>38</v>
      </c>
      <c r="D50" s="2" t="n">
        <v>28</v>
      </c>
      <c r="E50" s="2" t="n">
        <v>23</v>
      </c>
      <c r="F50" s="2" t="n">
        <v>2</v>
      </c>
      <c r="G50" s="2" t="n">
        <v>4</v>
      </c>
      <c r="H50" s="3" t="n">
        <v>9</v>
      </c>
      <c r="I50" s="3" t="n">
        <v>4.2497</v>
      </c>
      <c r="J50" s="3">
        <f>H50-I50</f>
        <v/>
      </c>
      <c r="K50" s="4">
        <f>J50/H50*100</f>
        <v/>
      </c>
      <c r="L50" s="2">
        <f>IF(J50&gt;0,"B关机更省","A常开更省")</f>
        <v/>
      </c>
    </row>
    <row r="51">
      <c r="A51" s="5" t="n">
        <v>50</v>
      </c>
      <c r="B51" s="5" t="n">
        <v>14</v>
      </c>
      <c r="C51" s="5" t="n">
        <v>40</v>
      </c>
      <c r="D51" s="5" t="n">
        <v>29</v>
      </c>
      <c r="E51" s="5" t="n">
        <v>24</v>
      </c>
      <c r="F51" s="5" t="n">
        <v>4</v>
      </c>
      <c r="G51" s="5" t="n">
        <v>2.6</v>
      </c>
      <c r="H51" s="6" t="n">
        <v>14.7692</v>
      </c>
      <c r="I51" s="6" t="n">
        <v>7.7608</v>
      </c>
      <c r="J51" s="6">
        <f>H51-I51</f>
        <v/>
      </c>
      <c r="K51" s="7">
        <f>J51/H51*100</f>
        <v/>
      </c>
      <c r="L51" s="5">
        <f>IF(J51&gt;0,"B关机更省","A常开更省")</f>
        <v/>
      </c>
    </row>
  </sheetData>
  <conditionalFormatting sqref="A2:L51">
    <cfRule type="cellIs" priority="1" operator="equal" dxfId="0">
      <formula>"B关机更省"</formula>
    </cfRule>
    <cfRule type="cellIs" priority="2" operator="equal" dxfId="1">
      <formula>"A常开更省"</formula>
    </cfRule>
  </conditionalFormatting>
  <conditionalFormatting sqref="K2:K51">
    <cfRule type="dataBar" priority="3">
      <dataBar>
        <cfvo type="min"/>
        <cfvo type="max"/>
        <color rgb="0063BE7B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7" customWidth="1" min="4" max="4"/>
    <col width="13" customWidth="1" min="5" max="5"/>
    <col width="11" customWidth="1" min="6" max="6"/>
    <col width="11" customWidth="1" min="7" max="7"/>
    <col width="11" customWidth="1" min="8" max="8"/>
    <col width="11" customWidth="1" min="9" max="9"/>
    <col width="15" customWidth="1" min="10" max="10"/>
    <col width="15" customWidth="1" min="11" max="11"/>
    <col width="30" customWidth="1" min="12" max="12"/>
  </cols>
  <sheetData>
    <row r="1">
      <c r="A1" s="1" t="inlineStr">
        <is>
          <t>Run</t>
        </is>
      </c>
      <c r="B1" s="1" t="inlineStr">
        <is>
          <t>t_off(h)</t>
        </is>
      </c>
      <c r="C1" s="1" t="inlineStr">
        <is>
          <t>T_out(°C)</t>
        </is>
      </c>
      <c r="D1" s="1" t="inlineStr">
        <is>
          <t>T_in_init(°C)</t>
        </is>
      </c>
      <c r="E1" s="1" t="inlineStr">
        <is>
          <t>T_set(°C)</t>
        </is>
      </c>
      <c r="F1" s="1" t="inlineStr">
        <is>
          <t>tau(h)</t>
        </is>
      </c>
      <c r="G1" s="1" t="inlineStr">
        <is>
          <t>COP</t>
        </is>
      </c>
      <c r="H1" s="1" t="inlineStr">
        <is>
          <t>E_A(kWh)</t>
        </is>
      </c>
      <c r="I1" s="1" t="inlineStr">
        <is>
          <t>E_B(kWh)</t>
        </is>
      </c>
      <c r="J1" s="1" t="inlineStr">
        <is>
          <t>delta_E(kWh)</t>
        </is>
      </c>
      <c r="K1" s="1" t="inlineStr">
        <is>
          <t>savings(%)</t>
        </is>
      </c>
      <c r="L1" s="1" t="inlineStr">
        <is>
          <t>winner</t>
        </is>
      </c>
    </row>
    <row r="2">
      <c r="A2" s="2" t="n">
        <v>1</v>
      </c>
      <c r="B2" s="2" t="n">
        <v>7</v>
      </c>
      <c r="C2" s="2" t="n">
        <v>30</v>
      </c>
      <c r="D2" s="2" t="n">
        <v>28</v>
      </c>
      <c r="E2" s="2" t="n">
        <v>24</v>
      </c>
      <c r="F2" s="2" t="n">
        <v>4</v>
      </c>
      <c r="G2" s="2" t="n">
        <v>3</v>
      </c>
      <c r="H2" s="3" t="n">
        <v>4.8</v>
      </c>
      <c r="I2" s="3" t="n">
        <v>3.9024</v>
      </c>
      <c r="J2" s="3">
        <f>H2-I2</f>
        <v/>
      </c>
      <c r="K2" s="4">
        <f>J2/H2*100</f>
        <v/>
      </c>
      <c r="L2" s="2">
        <f>IF(J2&gt;0,"B关机更省","A常开更省")</f>
        <v/>
      </c>
    </row>
    <row r="3">
      <c r="A3" s="5" t="n">
        <v>2</v>
      </c>
      <c r="B3" s="5" t="n">
        <v>7</v>
      </c>
      <c r="C3" s="5" t="n">
        <v>32</v>
      </c>
      <c r="D3" s="5" t="n">
        <v>28</v>
      </c>
      <c r="E3" s="5" t="n">
        <v>24</v>
      </c>
      <c r="F3" s="5" t="n">
        <v>4</v>
      </c>
      <c r="G3" s="5" t="n">
        <v>3</v>
      </c>
      <c r="H3" s="6" t="n">
        <v>6.4</v>
      </c>
      <c r="I3" s="6" t="n">
        <v>5.1827</v>
      </c>
      <c r="J3" s="6">
        <f>H3-I3</f>
        <v/>
      </c>
      <c r="K3" s="7">
        <f>J3/H3*100</f>
        <v/>
      </c>
      <c r="L3" s="5">
        <f>IF(J3&gt;0,"B关机更省","A常开更省")</f>
        <v/>
      </c>
    </row>
    <row r="4">
      <c r="A4" s="2" t="n">
        <v>3</v>
      </c>
      <c r="B4" s="2" t="n">
        <v>7</v>
      </c>
      <c r="C4" s="2" t="n">
        <v>34</v>
      </c>
      <c r="D4" s="2" t="n">
        <v>28</v>
      </c>
      <c r="E4" s="2" t="n">
        <v>24</v>
      </c>
      <c r="F4" s="2" t="n">
        <v>4</v>
      </c>
      <c r="G4" s="2" t="n">
        <v>3</v>
      </c>
      <c r="H4" s="3" t="n">
        <v>8</v>
      </c>
      <c r="I4" s="3" t="n">
        <v>6.4629</v>
      </c>
      <c r="J4" s="3">
        <f>H4-I4</f>
        <v/>
      </c>
      <c r="K4" s="4">
        <f>J4/H4*100</f>
        <v/>
      </c>
      <c r="L4" s="2">
        <f>IF(J4&gt;0,"B关机更省","A常开更省")</f>
        <v/>
      </c>
    </row>
    <row r="5">
      <c r="A5" s="5" t="n">
        <v>4</v>
      </c>
      <c r="B5" s="5" t="n">
        <v>7</v>
      </c>
      <c r="C5" s="5" t="n">
        <v>36</v>
      </c>
      <c r="D5" s="5" t="n">
        <v>28</v>
      </c>
      <c r="E5" s="5" t="n">
        <v>24</v>
      </c>
      <c r="F5" s="5" t="n">
        <v>4</v>
      </c>
      <c r="G5" s="5" t="n">
        <v>3</v>
      </c>
      <c r="H5" s="6" t="n">
        <v>9.6</v>
      </c>
      <c r="I5" s="6" t="n">
        <v>7.7431</v>
      </c>
      <c r="J5" s="6">
        <f>H5-I5</f>
        <v/>
      </c>
      <c r="K5" s="7">
        <f>J5/H5*100</f>
        <v/>
      </c>
      <c r="L5" s="5">
        <f>IF(J5&gt;0,"B关机更省","A常开更省")</f>
        <v/>
      </c>
    </row>
    <row r="6">
      <c r="A6" s="2" t="n">
        <v>5</v>
      </c>
      <c r="B6" s="2" t="n">
        <v>8</v>
      </c>
      <c r="C6" s="2" t="n">
        <v>30</v>
      </c>
      <c r="D6" s="2" t="n">
        <v>28</v>
      </c>
      <c r="E6" s="2" t="n">
        <v>24</v>
      </c>
      <c r="F6" s="2" t="n">
        <v>4</v>
      </c>
      <c r="G6" s="2" t="n">
        <v>3</v>
      </c>
      <c r="H6" s="3" t="n">
        <v>4.8</v>
      </c>
      <c r="I6" s="3" t="n">
        <v>3.7093</v>
      </c>
      <c r="J6" s="3">
        <f>H6-I6</f>
        <v/>
      </c>
      <c r="K6" s="4">
        <f>J6/H6*100</f>
        <v/>
      </c>
      <c r="L6" s="2">
        <f>IF(J6&gt;0,"B关机更省","A常开更省")</f>
        <v/>
      </c>
    </row>
    <row r="7">
      <c r="A7" s="5" t="n">
        <v>6</v>
      </c>
      <c r="B7" s="5" t="n">
        <v>8</v>
      </c>
      <c r="C7" s="5" t="n">
        <v>32</v>
      </c>
      <c r="D7" s="5" t="n">
        <v>28</v>
      </c>
      <c r="E7" s="5" t="n">
        <v>24</v>
      </c>
      <c r="F7" s="5" t="n">
        <v>4</v>
      </c>
      <c r="G7" s="5" t="n">
        <v>3</v>
      </c>
      <c r="H7" s="6" t="n">
        <v>6.4</v>
      </c>
      <c r="I7" s="6" t="n">
        <v>4.9297</v>
      </c>
      <c r="J7" s="6">
        <f>H7-I7</f>
        <v/>
      </c>
      <c r="K7" s="7">
        <f>J7/H7*100</f>
        <v/>
      </c>
      <c r="L7" s="5">
        <f>IF(J7&gt;0,"B关机更省","A常开更省")</f>
        <v/>
      </c>
    </row>
    <row r="8">
      <c r="A8" s="2" t="n">
        <v>7</v>
      </c>
      <c r="B8" s="2" t="n">
        <v>8</v>
      </c>
      <c r="C8" s="2" t="n">
        <v>34</v>
      </c>
      <c r="D8" s="2" t="n">
        <v>28</v>
      </c>
      <c r="E8" s="2" t="n">
        <v>24</v>
      </c>
      <c r="F8" s="2" t="n">
        <v>4</v>
      </c>
      <c r="G8" s="2" t="n">
        <v>3</v>
      </c>
      <c r="H8" s="3" t="n">
        <v>8</v>
      </c>
      <c r="I8" s="3" t="n">
        <v>6.15</v>
      </c>
      <c r="J8" s="3">
        <f>H8-I8</f>
        <v/>
      </c>
      <c r="K8" s="4">
        <f>J8/H8*100</f>
        <v/>
      </c>
      <c r="L8" s="2">
        <f>IF(J8&gt;0,"B关机更省","A常开更省")</f>
        <v/>
      </c>
    </row>
    <row r="9">
      <c r="A9" s="5" t="n">
        <v>8</v>
      </c>
      <c r="B9" s="5" t="n">
        <v>8</v>
      </c>
      <c r="C9" s="5" t="n">
        <v>36</v>
      </c>
      <c r="D9" s="5" t="n">
        <v>28</v>
      </c>
      <c r="E9" s="5" t="n">
        <v>24</v>
      </c>
      <c r="F9" s="5" t="n">
        <v>4</v>
      </c>
      <c r="G9" s="5" t="n">
        <v>3</v>
      </c>
      <c r="H9" s="6" t="n">
        <v>9.6</v>
      </c>
      <c r="I9" s="6" t="n">
        <v>7.3704</v>
      </c>
      <c r="J9" s="6">
        <f>H9-I9</f>
        <v/>
      </c>
      <c r="K9" s="7">
        <f>J9/H9*100</f>
        <v/>
      </c>
      <c r="L9" s="5">
        <f>IF(J9&gt;0,"B关机更省","A常开更省")</f>
        <v/>
      </c>
    </row>
    <row r="10">
      <c r="A10" s="2" t="n">
        <v>9</v>
      </c>
      <c r="B10" s="2" t="n">
        <v>9</v>
      </c>
      <c r="C10" s="2" t="n">
        <v>30</v>
      </c>
      <c r="D10" s="2" t="n">
        <v>28</v>
      </c>
      <c r="E10" s="2" t="n">
        <v>24</v>
      </c>
      <c r="F10" s="2" t="n">
        <v>4</v>
      </c>
      <c r="G10" s="2" t="n">
        <v>3</v>
      </c>
      <c r="H10" s="3" t="n">
        <v>4.8</v>
      </c>
      <c r="I10" s="3" t="n">
        <v>3.5146</v>
      </c>
      <c r="J10" s="3">
        <f>H10-I10</f>
        <v/>
      </c>
      <c r="K10" s="4">
        <f>J10/H10*100</f>
        <v/>
      </c>
      <c r="L10" s="2">
        <f>IF(J10&gt;0,"B关机更省","A常开更省")</f>
        <v/>
      </c>
    </row>
    <row r="11">
      <c r="A11" s="5" t="n">
        <v>10</v>
      </c>
      <c r="B11" s="5" t="n">
        <v>9</v>
      </c>
      <c r="C11" s="5" t="n">
        <v>32</v>
      </c>
      <c r="D11" s="5" t="n">
        <v>28</v>
      </c>
      <c r="E11" s="5" t="n">
        <v>24</v>
      </c>
      <c r="F11" s="5" t="n">
        <v>4</v>
      </c>
      <c r="G11" s="5" t="n">
        <v>3</v>
      </c>
      <c r="H11" s="6" t="n">
        <v>6.4</v>
      </c>
      <c r="I11" s="6" t="n">
        <v>4.6736</v>
      </c>
      <c r="J11" s="6">
        <f>H11-I11</f>
        <v/>
      </c>
      <c r="K11" s="7">
        <f>J11/H11*100</f>
        <v/>
      </c>
      <c r="L11" s="5">
        <f>IF(J11&gt;0,"B关机更省","A常开更省")</f>
        <v/>
      </c>
    </row>
    <row r="12">
      <c r="A12" s="2" t="n">
        <v>11</v>
      </c>
      <c r="B12" s="2" t="n">
        <v>9</v>
      </c>
      <c r="C12" s="2" t="n">
        <v>34</v>
      </c>
      <c r="D12" s="2" t="n">
        <v>28</v>
      </c>
      <c r="E12" s="2" t="n">
        <v>24</v>
      </c>
      <c r="F12" s="2" t="n">
        <v>4</v>
      </c>
      <c r="G12" s="2" t="n">
        <v>3</v>
      </c>
      <c r="H12" s="3" t="n">
        <v>8</v>
      </c>
      <c r="I12" s="3" t="n">
        <v>5.8327</v>
      </c>
      <c r="J12" s="3">
        <f>H12-I12</f>
        <v/>
      </c>
      <c r="K12" s="4">
        <f>J12/H12*100</f>
        <v/>
      </c>
      <c r="L12" s="2">
        <f>IF(J12&gt;0,"B关机更省","A常开更省")</f>
        <v/>
      </c>
    </row>
    <row r="13">
      <c r="A13" s="5" t="n">
        <v>12</v>
      </c>
      <c r="B13" s="5" t="n">
        <v>9</v>
      </c>
      <c r="C13" s="5" t="n">
        <v>36</v>
      </c>
      <c r="D13" s="5" t="n">
        <v>28</v>
      </c>
      <c r="E13" s="5" t="n">
        <v>24</v>
      </c>
      <c r="F13" s="5" t="n">
        <v>4</v>
      </c>
      <c r="G13" s="5" t="n">
        <v>3</v>
      </c>
      <c r="H13" s="6" t="n">
        <v>9.6</v>
      </c>
      <c r="I13" s="6" t="n">
        <v>6.9917</v>
      </c>
      <c r="J13" s="6">
        <f>H13-I13</f>
        <v/>
      </c>
      <c r="K13" s="7">
        <f>J13/H13*100</f>
        <v/>
      </c>
      <c r="L13" s="5">
        <f>IF(J13&gt;0,"B关机更省","A常开更省")</f>
        <v/>
      </c>
    </row>
    <row r="14">
      <c r="A14" s="2" t="n">
        <v>13</v>
      </c>
      <c r="B14" s="2" t="n">
        <v>10</v>
      </c>
      <c r="C14" s="2" t="n">
        <v>30</v>
      </c>
      <c r="D14" s="2" t="n">
        <v>28</v>
      </c>
      <c r="E14" s="2" t="n">
        <v>24</v>
      </c>
      <c r="F14" s="2" t="n">
        <v>4</v>
      </c>
      <c r="G14" s="2" t="n">
        <v>3</v>
      </c>
      <c r="H14" s="3" t="n">
        <v>4.8</v>
      </c>
      <c r="I14" s="3" t="n">
        <v>3.3187</v>
      </c>
      <c r="J14" s="3">
        <f>H14-I14</f>
        <v/>
      </c>
      <c r="K14" s="4">
        <f>J14/H14*100</f>
        <v/>
      </c>
      <c r="L14" s="2">
        <f>IF(J14&gt;0,"B关机更省","A常开更省")</f>
        <v/>
      </c>
    </row>
    <row r="15">
      <c r="A15" s="5" t="n">
        <v>14</v>
      </c>
      <c r="B15" s="5" t="n">
        <v>10</v>
      </c>
      <c r="C15" s="5" t="n">
        <v>32</v>
      </c>
      <c r="D15" s="5" t="n">
        <v>28</v>
      </c>
      <c r="E15" s="5" t="n">
        <v>24</v>
      </c>
      <c r="F15" s="5" t="n">
        <v>4</v>
      </c>
      <c r="G15" s="5" t="n">
        <v>3</v>
      </c>
      <c r="H15" s="6" t="n">
        <v>6.4</v>
      </c>
      <c r="I15" s="6" t="n">
        <v>4.4153</v>
      </c>
      <c r="J15" s="6">
        <f>H15-I15</f>
        <v/>
      </c>
      <c r="K15" s="7">
        <f>J15/H15*100</f>
        <v/>
      </c>
      <c r="L15" s="5">
        <f>IF(J15&gt;0,"B关机更省","A常开更省")</f>
        <v/>
      </c>
    </row>
    <row r="16">
      <c r="A16" s="2" t="n">
        <v>15</v>
      </c>
      <c r="B16" s="2" t="n">
        <v>10</v>
      </c>
      <c r="C16" s="2" t="n">
        <v>34</v>
      </c>
      <c r="D16" s="2" t="n">
        <v>28</v>
      </c>
      <c r="E16" s="2" t="n">
        <v>24</v>
      </c>
      <c r="F16" s="2" t="n">
        <v>4</v>
      </c>
      <c r="G16" s="2" t="n">
        <v>3</v>
      </c>
      <c r="H16" s="3" t="n">
        <v>8</v>
      </c>
      <c r="I16" s="3" t="n">
        <v>5.5118</v>
      </c>
      <c r="J16" s="3">
        <f>H16-I16</f>
        <v/>
      </c>
      <c r="K16" s="4">
        <f>J16/H16*100</f>
        <v/>
      </c>
      <c r="L16" s="2">
        <f>IF(J16&gt;0,"B关机更省","A常开更省")</f>
        <v/>
      </c>
    </row>
    <row r="17">
      <c r="A17" s="5" t="n">
        <v>16</v>
      </c>
      <c r="B17" s="5" t="n">
        <v>10</v>
      </c>
      <c r="C17" s="5" t="n">
        <v>36</v>
      </c>
      <c r="D17" s="5" t="n">
        <v>28</v>
      </c>
      <c r="E17" s="5" t="n">
        <v>24</v>
      </c>
      <c r="F17" s="5" t="n">
        <v>4</v>
      </c>
      <c r="G17" s="5" t="n">
        <v>3</v>
      </c>
      <c r="H17" s="6" t="n">
        <v>9.6</v>
      </c>
      <c r="I17" s="6" t="n">
        <v>6.6083</v>
      </c>
      <c r="J17" s="6">
        <f>H17-I17</f>
        <v/>
      </c>
      <c r="K17" s="7">
        <f>J17/H17*100</f>
        <v/>
      </c>
      <c r="L17" s="5">
        <f>IF(J17&gt;0,"B关机更省","A常开更省")</f>
        <v/>
      </c>
    </row>
    <row r="18">
      <c r="A18" s="2" t="n">
        <v>17</v>
      </c>
      <c r="B18" s="2" t="n">
        <v>12</v>
      </c>
      <c r="C18" s="2" t="n">
        <v>30</v>
      </c>
      <c r="D18" s="2" t="n">
        <v>28</v>
      </c>
      <c r="E18" s="2" t="n">
        <v>24</v>
      </c>
      <c r="F18" s="2" t="n">
        <v>4</v>
      </c>
      <c r="G18" s="2" t="n">
        <v>3</v>
      </c>
      <c r="H18" s="3" t="n">
        <v>4.8</v>
      </c>
      <c r="I18" s="3" t="n">
        <v>2.9245</v>
      </c>
      <c r="J18" s="3">
        <f>H18-I18</f>
        <v/>
      </c>
      <c r="K18" s="4">
        <f>J18/H18*100</f>
        <v/>
      </c>
      <c r="L18" s="2">
        <f>IF(J18&gt;0,"B关机更省","A常开更省")</f>
        <v/>
      </c>
    </row>
    <row r="19">
      <c r="A19" s="5" t="n">
        <v>18</v>
      </c>
      <c r="B19" s="5" t="n">
        <v>12</v>
      </c>
      <c r="C19" s="5" t="n">
        <v>32</v>
      </c>
      <c r="D19" s="5" t="n">
        <v>28</v>
      </c>
      <c r="E19" s="5" t="n">
        <v>24</v>
      </c>
      <c r="F19" s="5" t="n">
        <v>4</v>
      </c>
      <c r="G19" s="5" t="n">
        <v>3</v>
      </c>
      <c r="H19" s="6" t="n">
        <v>6.4</v>
      </c>
      <c r="I19" s="6" t="n">
        <v>3.8934</v>
      </c>
      <c r="J19" s="6">
        <f>H19-I19</f>
        <v/>
      </c>
      <c r="K19" s="7">
        <f>J19/H19*100</f>
        <v/>
      </c>
      <c r="L19" s="5">
        <f>IF(J19&gt;0,"B关机更省","A常开更省")</f>
        <v/>
      </c>
    </row>
    <row r="20">
      <c r="A20" s="2" t="n">
        <v>19</v>
      </c>
      <c r="B20" s="2" t="n">
        <v>12</v>
      </c>
      <c r="C20" s="2" t="n">
        <v>34</v>
      </c>
      <c r="D20" s="2" t="n">
        <v>28</v>
      </c>
      <c r="E20" s="2" t="n">
        <v>24</v>
      </c>
      <c r="F20" s="2" t="n">
        <v>4</v>
      </c>
      <c r="G20" s="2" t="n">
        <v>3</v>
      </c>
      <c r="H20" s="3" t="n">
        <v>8</v>
      </c>
      <c r="I20" s="3" t="n">
        <v>4.8623</v>
      </c>
      <c r="J20" s="3">
        <f>H20-I20</f>
        <v/>
      </c>
      <c r="K20" s="4">
        <f>J20/H20*100</f>
        <v/>
      </c>
      <c r="L20" s="2">
        <f>IF(J20&gt;0,"B关机更省","A常开更省")</f>
        <v/>
      </c>
    </row>
    <row r="21">
      <c r="A21" s="5" t="n">
        <v>20</v>
      </c>
      <c r="B21" s="5" t="n">
        <v>12</v>
      </c>
      <c r="C21" s="5" t="n">
        <v>36</v>
      </c>
      <c r="D21" s="5" t="n">
        <v>28</v>
      </c>
      <c r="E21" s="5" t="n">
        <v>24</v>
      </c>
      <c r="F21" s="5" t="n">
        <v>4</v>
      </c>
      <c r="G21" s="5" t="n">
        <v>3</v>
      </c>
      <c r="H21" s="6" t="n">
        <v>9.6</v>
      </c>
      <c r="I21" s="6" t="n">
        <v>5.8313</v>
      </c>
      <c r="J21" s="6">
        <f>H21-I21</f>
        <v/>
      </c>
      <c r="K21" s="7">
        <f>J21/H21*100</f>
        <v/>
      </c>
      <c r="L21" s="5">
        <f>IF(J21&gt;0,"B关机更省","A常开更省")</f>
        <v/>
      </c>
    </row>
  </sheetData>
  <conditionalFormatting sqref="A2:L21">
    <cfRule type="cellIs" priority="1" operator="equal" dxfId="0">
      <formula>"B关机更省"</formula>
    </cfRule>
    <cfRule type="cellIs" priority="2" operator="equal" dxfId="1">
      <formula>"A常开更省"</formula>
    </cfRule>
  </conditionalFormatting>
  <conditionalFormatting sqref="K2:K21">
    <cfRule type="dataBar" priority="3">
      <dataBar>
        <cfvo type="min"/>
        <cfvo type="max"/>
        <color rgb="0063BE7B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8" t="inlineStr">
        <is>
          <t>出门时间(h)</t>
        </is>
      </c>
    </row>
    <row r="2">
      <c r="A2" s="1" t="inlineStr">
        <is>
          <t>水平值</t>
        </is>
      </c>
      <c r="B2" s="1" t="inlineStr">
        <is>
          <t>ΔE均值(kWh)</t>
        </is>
      </c>
    </row>
    <row r="3">
      <c r="A3" s="2" t="n">
        <v>2</v>
      </c>
      <c r="B3" s="9" t="n">
        <v>-0.1253</v>
      </c>
    </row>
    <row r="4">
      <c r="A4" s="2" t="n">
        <v>5</v>
      </c>
      <c r="B4" s="3" t="n">
        <v>0.6307</v>
      </c>
    </row>
    <row r="5">
      <c r="A5" s="2" t="n">
        <v>8</v>
      </c>
      <c r="B5" s="3" t="n">
        <v>1.3369</v>
      </c>
    </row>
    <row r="6">
      <c r="A6" s="2" t="n">
        <v>11</v>
      </c>
      <c r="B6" s="3" t="n">
        <v>2.073</v>
      </c>
    </row>
    <row r="7">
      <c r="A7" s="2" t="n">
        <v>14</v>
      </c>
      <c r="B7" s="10" t="n">
        <v>3.1296</v>
      </c>
    </row>
    <row r="8"/>
    <row r="9">
      <c r="A9" s="8" t="inlineStr">
        <is>
          <t>室外温度(°C)</t>
        </is>
      </c>
    </row>
    <row r="10">
      <c r="A10" s="1" t="inlineStr">
        <is>
          <t>水平值</t>
        </is>
      </c>
      <c r="B10" s="1" t="inlineStr">
        <is>
          <t>ΔE均值(kWh)</t>
        </is>
      </c>
    </row>
    <row r="11">
      <c r="A11" s="2" t="n">
        <v>26</v>
      </c>
      <c r="B11" s="9" t="n">
        <v>-0.0331</v>
      </c>
    </row>
    <row r="12">
      <c r="A12" s="2" t="n">
        <v>30</v>
      </c>
      <c r="B12" s="3" t="n">
        <v>0.6791</v>
      </c>
    </row>
    <row r="13">
      <c r="A13" s="2" t="n">
        <v>34</v>
      </c>
      <c r="B13" s="3" t="n">
        <v>1.306</v>
      </c>
    </row>
    <row r="14">
      <c r="A14" s="2" t="n">
        <v>38</v>
      </c>
      <c r="B14" s="3" t="n">
        <v>2.1935</v>
      </c>
    </row>
    <row r="15">
      <c r="A15" s="2" t="n">
        <v>40</v>
      </c>
      <c r="B15" s="10" t="n">
        <v>2.8993</v>
      </c>
    </row>
    <row r="16"/>
    <row r="17">
      <c r="A17" s="8" t="inlineStr">
        <is>
          <t>室内初始温(°C)</t>
        </is>
      </c>
    </row>
    <row r="18">
      <c r="A18" s="1" t="inlineStr">
        <is>
          <t>水平值</t>
        </is>
      </c>
      <c r="B18" s="1" t="inlineStr">
        <is>
          <t>ΔE均值(kWh)</t>
        </is>
      </c>
    </row>
    <row r="19">
      <c r="A19" s="2" t="n">
        <v>26</v>
      </c>
      <c r="B19" s="3" t="n">
        <v>1.1852</v>
      </c>
    </row>
    <row r="20">
      <c r="A20" s="2" t="n">
        <v>27</v>
      </c>
      <c r="B20" s="10" t="n">
        <v>1.7791</v>
      </c>
    </row>
    <row r="21">
      <c r="A21" s="2" t="n">
        <v>28</v>
      </c>
      <c r="B21" s="3" t="n">
        <v>1.6302</v>
      </c>
    </row>
    <row r="22">
      <c r="A22" s="2" t="n">
        <v>29</v>
      </c>
      <c r="B22" s="3" t="n">
        <v>1.6448</v>
      </c>
    </row>
    <row r="23">
      <c r="A23" s="2" t="n">
        <v>30</v>
      </c>
      <c r="B23" s="3" t="n">
        <v>0.8056</v>
      </c>
    </row>
    <row r="24"/>
    <row r="25">
      <c r="A25" s="8" t="inlineStr">
        <is>
          <t>目标温度(°C)</t>
        </is>
      </c>
    </row>
    <row r="26">
      <c r="A26" s="1" t="inlineStr">
        <is>
          <t>水平值</t>
        </is>
      </c>
      <c r="B26" s="1" t="inlineStr">
        <is>
          <t>ΔE均值(kWh)</t>
        </is>
      </c>
    </row>
    <row r="27">
      <c r="A27" s="2" t="n">
        <v>22</v>
      </c>
      <c r="B27" s="3" t="n">
        <v>1.6874</v>
      </c>
    </row>
    <row r="28">
      <c r="A28" s="2" t="n">
        <v>23</v>
      </c>
      <c r="B28" s="3" t="n">
        <v>1.3534</v>
      </c>
    </row>
    <row r="29">
      <c r="A29" s="2" t="n">
        <v>24</v>
      </c>
      <c r="B29" s="10" t="n">
        <v>2.0083</v>
      </c>
    </row>
    <row r="30">
      <c r="A30" s="2" t="n">
        <v>25</v>
      </c>
      <c r="B30" s="3" t="n">
        <v>0.9631999999999999</v>
      </c>
    </row>
    <row r="31">
      <c r="A31" s="2" t="n">
        <v>26</v>
      </c>
      <c r="B31" s="3" t="n">
        <v>1.0327</v>
      </c>
    </row>
    <row r="32"/>
    <row r="33">
      <c r="A33" s="8" t="inlineStr">
        <is>
          <t>热惯性τ(h)</t>
        </is>
      </c>
    </row>
    <row r="34">
      <c r="A34" s="1" t="inlineStr">
        <is>
          <t>水平值</t>
        </is>
      </c>
      <c r="B34" s="1" t="inlineStr">
        <is>
          <t>ΔE均值(kWh)</t>
        </is>
      </c>
    </row>
    <row r="35">
      <c r="A35" s="2" t="n">
        <v>2</v>
      </c>
      <c r="B35" s="10" t="n">
        <v>2.1</v>
      </c>
    </row>
    <row r="36">
      <c r="A36" s="2" t="n">
        <v>4</v>
      </c>
      <c r="B36" s="3" t="n">
        <v>2.038</v>
      </c>
    </row>
    <row r="37">
      <c r="A37" s="2" t="n">
        <v>6</v>
      </c>
      <c r="B37" s="3" t="n">
        <v>1.1345</v>
      </c>
    </row>
    <row r="38">
      <c r="A38" s="2" t="n">
        <v>9</v>
      </c>
      <c r="B38" s="3" t="n">
        <v>1.1353</v>
      </c>
    </row>
    <row r="39">
      <c r="A39" s="2" t="n">
        <v>12</v>
      </c>
      <c r="B39" s="3" t="n">
        <v>0.6371</v>
      </c>
    </row>
    <row r="40"/>
    <row r="41">
      <c r="A41" s="8" t="inlineStr">
        <is>
          <t>COP</t>
        </is>
      </c>
    </row>
    <row r="42">
      <c r="A42" s="1" t="inlineStr">
        <is>
          <t>水平值</t>
        </is>
      </c>
      <c r="B42" s="1" t="inlineStr">
        <is>
          <t>ΔE均值(kWh)</t>
        </is>
      </c>
    </row>
    <row r="43">
      <c r="A43" s="2" t="n">
        <v>2.6</v>
      </c>
      <c r="B43" s="10" t="n">
        <v>2.3333</v>
      </c>
    </row>
    <row r="44">
      <c r="A44" s="2" t="n">
        <v>3</v>
      </c>
      <c r="B44" s="3" t="n">
        <v>1.3267</v>
      </c>
    </row>
    <row r="45">
      <c r="A45" s="2" t="n">
        <v>3.3</v>
      </c>
      <c r="B45" s="3" t="n">
        <v>1.0063</v>
      </c>
    </row>
    <row r="46">
      <c r="A46" s="2" t="n">
        <v>3.6</v>
      </c>
      <c r="B46" s="3" t="n">
        <v>0.9901</v>
      </c>
    </row>
    <row r="47">
      <c r="A47" s="2" t="n">
        <v>4</v>
      </c>
      <c r="B47" s="3" t="n">
        <v>1.3885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8" customWidth="1" min="5" max="5"/>
  </cols>
  <sheetData>
    <row r="1">
      <c r="A1" s="1" t="inlineStr">
        <is>
          <t>Factor</t>
        </is>
      </c>
      <c r="B1" s="1" t="inlineStr">
        <is>
          <t>SS</t>
        </is>
      </c>
      <c r="C1" s="1" t="inlineStr">
        <is>
          <t>df</t>
        </is>
      </c>
      <c r="D1" s="1" t="inlineStr">
        <is>
          <t>MS</t>
        </is>
      </c>
      <c r="E1" s="1" t="inlineStr">
        <is>
          <t>Contribution(%)</t>
        </is>
      </c>
    </row>
    <row r="2">
      <c r="A2" s="11" t="inlineStr">
        <is>
          <t>t_off</t>
        </is>
      </c>
      <c r="B2" s="12" t="n">
        <v>63.6628</v>
      </c>
      <c r="C2" s="11" t="n">
        <v>4</v>
      </c>
      <c r="D2" s="12" t="n">
        <v>15.9157</v>
      </c>
      <c r="E2" s="13" t="n">
        <v>39.59</v>
      </c>
    </row>
    <row r="3">
      <c r="A3" s="11" t="inlineStr">
        <is>
          <t>T_out</t>
        </is>
      </c>
      <c r="B3" s="12" t="n">
        <v>54.5945</v>
      </c>
      <c r="C3" s="11" t="n">
        <v>4</v>
      </c>
      <c r="D3" s="12" t="n">
        <v>13.6486</v>
      </c>
      <c r="E3" s="13" t="n">
        <v>33.95</v>
      </c>
    </row>
    <row r="4">
      <c r="A4" s="2" t="inlineStr">
        <is>
          <t>T_in_init</t>
        </is>
      </c>
      <c r="B4" s="3" t="n">
        <v>6.5577</v>
      </c>
      <c r="C4" s="2" t="n">
        <v>4</v>
      </c>
      <c r="D4" s="3" t="n">
        <v>1.6394</v>
      </c>
      <c r="E4" s="4" t="n">
        <v>4.08</v>
      </c>
    </row>
    <row r="5">
      <c r="A5" s="2" t="inlineStr">
        <is>
          <t>T_set</t>
        </is>
      </c>
      <c r="B5" s="3" t="n">
        <v>7.8006</v>
      </c>
      <c r="C5" s="2" t="n">
        <v>4</v>
      </c>
      <c r="D5" s="3" t="n">
        <v>1.9501</v>
      </c>
      <c r="E5" s="4" t="n">
        <v>4.85</v>
      </c>
    </row>
    <row r="6">
      <c r="A6" s="11" t="inlineStr">
        <is>
          <t>tau</t>
        </is>
      </c>
      <c r="B6" s="12" t="n">
        <v>16.1914</v>
      </c>
      <c r="C6" s="11" t="n">
        <v>4</v>
      </c>
      <c r="D6" s="12" t="n">
        <v>4.0478</v>
      </c>
      <c r="E6" s="13" t="n">
        <v>10.07</v>
      </c>
    </row>
    <row r="7">
      <c r="A7" s="2" t="inlineStr">
        <is>
          <t>COP</t>
        </is>
      </c>
      <c r="B7" s="3" t="n">
        <v>11.9928</v>
      </c>
      <c r="C7" s="2" t="n">
        <v>4</v>
      </c>
      <c r="D7" s="3" t="n">
        <v>2.9982</v>
      </c>
      <c r="E7" s="4" t="n">
        <v>7.46</v>
      </c>
    </row>
    <row r="8">
      <c r="A8" s="2" t="inlineStr">
        <is>
          <t>Error</t>
        </is>
      </c>
      <c r="B8" s="3" t="n">
        <v>-0</v>
      </c>
      <c r="C8" s="2" t="n">
        <v>25</v>
      </c>
      <c r="D8" s="3" t="n">
        <v>-0</v>
      </c>
      <c r="E8" s="4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5" customWidth="1" min="3" max="3"/>
  </cols>
  <sheetData>
    <row r="1">
      <c r="A1" s="1" t="inlineStr">
        <is>
          <t>工况描述</t>
        </is>
      </c>
      <c r="B1" s="1" t="inlineStr">
        <is>
          <t>临界出门时长(h)</t>
        </is>
      </c>
      <c r="C1" s="1" t="inlineStr">
        <is>
          <t>说明</t>
        </is>
      </c>
    </row>
    <row r="2">
      <c r="A2" s="14" t="inlineStr">
        <is>
          <t>普通住宅, T_out=32°C, τ=6h, COP=3.3</t>
        </is>
      </c>
      <c r="B2" s="2" t="inlineStr">
        <is>
          <t>~8.5</t>
        </is>
      </c>
      <c r="C2" s="14" t="inlineStr">
        <is>
          <t>大多数家庭典型工况，出门超过此时间关机更省</t>
        </is>
      </c>
    </row>
    <row r="3">
      <c r="A3" s="14" t="inlineStr">
        <is>
          <t>保温良好, T_out=30°C, τ=9h, COP=3.6</t>
        </is>
      </c>
      <c r="B3" s="2" t="inlineStr">
        <is>
          <t>~6.0</t>
        </is>
      </c>
      <c r="C3" s="14" t="inlineStr">
        <is>
          <t>保温好的房子临界时间更短</t>
        </is>
      </c>
    </row>
    <row r="4">
      <c r="A4" s="14" t="inlineStr">
        <is>
          <t>保温差, T_out=36°C, τ=2h, COP=2.6</t>
        </is>
      </c>
      <c r="B4" s="2" t="inlineStr">
        <is>
          <t>~12.0</t>
        </is>
      </c>
      <c r="C4" s="14" t="inlineStr">
        <is>
          <t>保温差+高温天气，需要更长时间关机才划算</t>
        </is>
      </c>
    </row>
    <row r="5">
      <c r="A5" s="14" t="inlineStr">
        <is>
          <t>极端高温, T_out=40°C, τ=4h, COP=3.0</t>
        </is>
      </c>
      <c r="B5" s="2" t="inlineStr">
        <is>
          <t>~10.0</t>
        </is>
      </c>
      <c r="C5" s="14" t="inlineStr">
        <is>
          <t>极端高温下回冷成本高，临界时间较长</t>
        </is>
      </c>
    </row>
    <row r="6">
      <c r="A6" s="14" t="inlineStr">
        <is>
          <t>高效空调, T_out=34°C, τ=6h, COP=4.0</t>
        </is>
      </c>
      <c r="B6" s="2" t="inlineStr">
        <is>
          <t>~5.5</t>
        </is>
      </c>
      <c r="C6" s="14" t="inlineStr">
        <is>
          <t>高COP空调回冷效率高，关机更划算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2026-04-16T09:24:47Z</dcterms:created>
  <dcterms:modified xmlns:dcterms="http://purl.org/dc/terms/" xmlns:xsi="http://www.w3.org/2001/XMLSchema-instance" xsi:type="dcterms:W3CDTF">2026-04-16T09:24:47Z</dcterms:modified>
</cp:coreProperties>
</file>